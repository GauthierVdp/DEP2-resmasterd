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575d125aa3e75c/Desktop/DEP2 resmasterd/"/>
    </mc:Choice>
  </mc:AlternateContent>
  <xr:revisionPtr revIDLastSave="4" documentId="8_{CAF53A7B-544A-417B-985C-8F43DE771B7F}" xr6:coauthVersionLast="47" xr6:coauthVersionMax="47" xr10:uidLastSave="{C85486FD-FB81-4CBA-B480-1AB2BD1E5E63}"/>
  <bookViews>
    <workbookView xWindow="-23148" yWindow="-108" windowWidth="23256" windowHeight="12456" xr2:uid="{00000000-000D-0000-FFFF-FFFF00000000}"/>
  </bookViews>
  <sheets>
    <sheet name="TimeEdit" sheetId="1" r:id="rId1"/>
    <sheet name="Stats" sheetId="2" r:id="rId2"/>
  </sheets>
  <definedNames>
    <definedName name="_xlnm._FilterDatabase" localSheetId="0" hidden="1">TimeEdit!$A$1:$M$39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9" i="2" l="1"/>
  <c r="AG29" i="2"/>
  <c r="AI29" i="2"/>
  <c r="AJ29" i="2"/>
  <c r="AK29" i="2"/>
  <c r="AL29" i="2"/>
  <c r="AM29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A4" i="2"/>
  <c r="AB4" i="2"/>
  <c r="AB29" i="2" s="1"/>
  <c r="AC4" i="2"/>
  <c r="AD4" i="2"/>
  <c r="AE4" i="2"/>
  <c r="AF4" i="2"/>
  <c r="AG4" i="2"/>
  <c r="AH4" i="2"/>
  <c r="AI4" i="2"/>
  <c r="AJ4" i="2"/>
  <c r="AK4" i="2"/>
  <c r="AL4" i="2"/>
  <c r="AM4" i="2"/>
  <c r="AA5" i="2"/>
  <c r="AB5" i="2"/>
  <c r="AC5" i="2"/>
  <c r="AD5" i="2"/>
  <c r="AD29" i="2" s="1"/>
  <c r="AE5" i="2"/>
  <c r="AE29" i="2" s="1"/>
  <c r="AF5" i="2"/>
  <c r="AG5" i="2"/>
  <c r="AH5" i="2"/>
  <c r="AI5" i="2"/>
  <c r="AJ5" i="2"/>
  <c r="AK5" i="2"/>
  <c r="AL5" i="2"/>
  <c r="AM5" i="2"/>
  <c r="AA6" i="2"/>
  <c r="AB6" i="2"/>
  <c r="AC6" i="2"/>
  <c r="AD6" i="2"/>
  <c r="AE6" i="2"/>
  <c r="AF6" i="2"/>
  <c r="AG6" i="2"/>
  <c r="AH6" i="2"/>
  <c r="AH29" i="2" s="1"/>
  <c r="AI6" i="2"/>
  <c r="AJ6" i="2"/>
  <c r="AK6" i="2"/>
  <c r="AL6" i="2"/>
  <c r="AM6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B2" i="2"/>
  <c r="AC2" i="2"/>
  <c r="AD2" i="2"/>
  <c r="AE2" i="2"/>
  <c r="AF2" i="2"/>
  <c r="AF29" i="2" s="1"/>
  <c r="AG2" i="2"/>
  <c r="AH2" i="2"/>
  <c r="AI2" i="2"/>
  <c r="AJ2" i="2"/>
  <c r="AK2" i="2"/>
  <c r="AL2" i="2"/>
  <c r="AM2" i="2"/>
  <c r="AA2" i="2"/>
  <c r="AA29" i="2" s="1"/>
</calcChain>
</file>

<file path=xl/sharedStrings.xml><?xml version="1.0" encoding="utf-8"?>
<sst xmlns="http://schemas.openxmlformats.org/spreadsheetml/2006/main" count="763" uniqueCount="104">
  <si>
    <t>Week</t>
  </si>
  <si>
    <t>Weekdag</t>
  </si>
  <si>
    <t>Start datum</t>
  </si>
  <si>
    <t>Starttijd</t>
  </si>
  <si>
    <t>Eind datum</t>
  </si>
  <si>
    <t>Eindtijd</t>
  </si>
  <si>
    <t>Olod</t>
  </si>
  <si>
    <t>Klasgroep, Klasgroep compleet</t>
  </si>
  <si>
    <t>Werkvorm</t>
  </si>
  <si>
    <t>Leer- of toetsomgeving</t>
  </si>
  <si>
    <t>Lokaal</t>
  </si>
  <si>
    <t>Lesgever</t>
  </si>
  <si>
    <t>Aanwezigen</t>
  </si>
  <si>
    <t>Aalst + VC</t>
  </si>
  <si>
    <t>GENT01</t>
  </si>
  <si>
    <t>GENT03</t>
  </si>
  <si>
    <t>GENT04</t>
  </si>
  <si>
    <t>GENT06</t>
  </si>
  <si>
    <t>GENT08</t>
  </si>
  <si>
    <t>GENT09</t>
  </si>
  <si>
    <t>GENT10</t>
  </si>
  <si>
    <t>GENT11</t>
  </si>
  <si>
    <t>GENT12</t>
  </si>
  <si>
    <t>GENT13</t>
  </si>
  <si>
    <t>GENT14</t>
  </si>
  <si>
    <t>GENT15</t>
  </si>
  <si>
    <t>W10</t>
  </si>
  <si>
    <t>Maandag</t>
  </si>
  <si>
    <t>24-11-2025</t>
  </si>
  <si>
    <t>08:15</t>
  </si>
  <si>
    <t>10:15</t>
  </si>
  <si>
    <t>PBA-TIN/Relational Databases &amp; Datawarehousing</t>
  </si>
  <si>
    <t>PBA-TIN-TI/2A1, PBA-TIN-TI/2B</t>
  </si>
  <si>
    <t>Activerend hoorcollege</t>
  </si>
  <si>
    <t>Digitaal (laptop/PC)</t>
  </si>
  <si>
    <t>GSCHB.4.029</t>
  </si>
  <si>
    <t>Johan Decorte</t>
  </si>
  <si>
    <t>PBA-TIN2/Mathematics for Machine Learning</t>
  </si>
  <si>
    <t>PBA-TIN2-TI/2E, PBA-TIN2-TI/2F</t>
  </si>
  <si>
    <t>GAARB.0.032</t>
  </si>
  <si>
    <t>Simon De Gheselle</t>
  </si>
  <si>
    <t>09:15</t>
  </si>
  <si>
    <t>12:30</t>
  </si>
  <si>
    <t>PBA-TIN/Computer Systems</t>
  </si>
  <si>
    <t>PBA-TIN-TI/1B</t>
  </si>
  <si>
    <t>GSCHB.3.037</t>
  </si>
  <si>
    <t>Thomas Aelbrecht</t>
  </si>
  <si>
    <t>10:30</t>
  </si>
  <si>
    <t>PBA-TIN-TI/2A2, PBA-TIN-TI/VT/PROG/S1</t>
  </si>
  <si>
    <t>13:30</t>
  </si>
  <si>
    <t>16:45</t>
  </si>
  <si>
    <t>PBA-TIN-TI/1A</t>
  </si>
  <si>
    <t>Dinsdag</t>
  </si>
  <si>
    <t>25-11-2025</t>
  </si>
  <si>
    <t>PBA-TIN/Machine Learning Operations</t>
  </si>
  <si>
    <t>PBA-TIN-TI/3C1</t>
  </si>
  <si>
    <t>GSCHB.2.010</t>
  </si>
  <si>
    <t>GSCHB.3.029 Hybridelokaal</t>
  </si>
  <si>
    <t>PBA-TIN/Modern Data Architectures</t>
  </si>
  <si>
    <t>PBA-TIN-TI/3A3</t>
  </si>
  <si>
    <t>PBA-TIN-TI/3C1, PBA-TIN-TI/3C2</t>
  </si>
  <si>
    <t>GSCHB.3.026</t>
  </si>
  <si>
    <t>Woensdag</t>
  </si>
  <si>
    <t>26-11-2025</t>
  </si>
  <si>
    <t>15:30</t>
  </si>
  <si>
    <t>GSCHB.3.032</t>
  </si>
  <si>
    <t>Donderdag</t>
  </si>
  <si>
    <t>27-11-2025</t>
  </si>
  <si>
    <t>PBA-TIN/Deep Learning</t>
  </si>
  <si>
    <t>MC/DATA/1, PBA-TIN-TI/3C2</t>
  </si>
  <si>
    <t>GSCHB.3.027</t>
  </si>
  <si>
    <t>PBA-VG/Inleiding in de Geo-ICT</t>
  </si>
  <si>
    <t>PBA-VG-LAM/2 - Inleiding in de Geo-ICT, PBA-VG-LAM/VT/VG/2 - Inleiding in de Geo-ICT, PBA-VG-LAM/VT/BKT/2 - Inleiding in de Geo-ICT</t>
  </si>
  <si>
    <t>Vaardigheidstest</t>
  </si>
  <si>
    <t>GSCHP.0.115 Laptoplokaal</t>
  </si>
  <si>
    <t>Simon De Gheselle, Tom Van Damme</t>
  </si>
  <si>
    <t>Vrijdag</t>
  </si>
  <si>
    <t>28-11-2025</t>
  </si>
  <si>
    <t>PBA-TIN/Web Services</t>
  </si>
  <si>
    <t>PBA-TIN-TI/2E1, PBA-TIN-TI/2F</t>
  </si>
  <si>
    <t>GAARB.0.029</t>
  </si>
  <si>
    <t>PBA-TIN-TI/2E2</t>
  </si>
  <si>
    <t>PBA-TIN2/Modern Data Architectures</t>
  </si>
  <si>
    <t>PBA-TIN2-TI/3A, PBA-TIN2-TI/3C, PBA-TIN2-TI/VT/PROG/SEM1</t>
  </si>
  <si>
    <t>W11</t>
  </si>
  <si>
    <t>01-12-2025</t>
  </si>
  <si>
    <t>PBA-VG-LAM/2A, PBA-VG-LAM/2B1, PBA-VG-LAM/VT/BKT/2, PBA-VG-LAM/VT/VG/2</t>
  </si>
  <si>
    <t>Oefensessie</t>
  </si>
  <si>
    <t>GSCHB.3.012</t>
  </si>
  <si>
    <t>15:45</t>
  </si>
  <si>
    <t>17:45</t>
  </si>
  <si>
    <t>PBA-VG-LAM/2B2, PBA-VG-LAM/2C</t>
  </si>
  <si>
    <t>02-12-2025</t>
  </si>
  <si>
    <t>GSCHB.3.036</t>
  </si>
  <si>
    <t>03-12-2025</t>
  </si>
  <si>
    <t>04-12-2025</t>
  </si>
  <si>
    <t>05-12-2025</t>
  </si>
  <si>
    <t>PBA-TIN/Modern Data Architectures, PBA-TIN/Modern Data Architectures, PBA-TIN/Modern Data Architectures, PBA-TIN2/Modern Data Architectures</t>
  </si>
  <si>
    <t>PBA-TIN-TI/3A1, PBA-TIN-TI/3A2, PBA-TIN-TI/3A3, PBA-TIN-TI/3C1, PBA-TIN-TI/3C2, PBA-TIN-TI/AO/3, PBA-TIN-TI/AO/VT/PROG/S1, PBA-TIN-TI/VC/3, PBA-TIN-TI/VC/VT/PROG/S1, PBA-TIN-TI/VT/PROG/S1, PBA-TIN2-TI/3A, PBA-TIN2-TI/3C, PBA-TIN2-TI/VT/PROG/SEM1</t>
  </si>
  <si>
    <t>GSCHB.0.010 BCON</t>
  </si>
  <si>
    <t>Jan Willem, Johan Decorte, Simon De Gheselle</t>
  </si>
  <si>
    <t>GEMIDDELDE PROCENTUELE AFWIJKING</t>
  </si>
  <si>
    <t>Webservices niet gevonden</t>
  </si>
  <si>
    <t>Aan-wezigen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</si>
</sst>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Aptos Narrow"/>
      <family val="2"/>
      <scheme val="minor"/>
    </font>
    <font>
      <b/>
      <sz val="12"/>
      <name val="Arial"/>
      <family val="2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6"/>
      <name val="Arial"/>
      <family val="2"/>
    </font>
    <font>
      <sz val="16"/>
      <color rgb="FF000000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sz val="16"/>
      <color indexed="8"/>
      <name val="Aptos Narrow"/>
      <family val="2"/>
      <scheme val="minor"/>
    </font>
    <font>
      <b/>
      <sz val="16"/>
      <color indexed="8"/>
      <name val="Aptos Narrow"/>
      <family val="2"/>
      <scheme val="minor"/>
    </font>
    <font>
      <b/>
      <sz val="1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9" fontId="9" fillId="0" borderId="0" xfId="0" applyNumberFormat="1" applyFont="1" applyAlignment="1">
      <alignment horizontal="center" vertical="center"/>
    </xf>
    <xf numFmtId="9" fontId="8" fillId="0" borderId="1" xfId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11" xfId="0" applyFont="1" applyBorder="1" applyAlignment="1">
      <alignment vertical="center"/>
    </xf>
    <xf numFmtId="0" fontId="6" fillId="7" borderId="11" xfId="0" applyFont="1" applyFill="1" applyBorder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9" borderId="9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9" fontId="8" fillId="0" borderId="17" xfId="1" applyFont="1" applyBorder="1" applyAlignment="1">
      <alignment horizontal="center" vertical="center"/>
    </xf>
    <xf numFmtId="9" fontId="8" fillId="0" borderId="18" xfId="1" applyFont="1" applyBorder="1" applyAlignment="1">
      <alignment horizontal="center" vertical="center"/>
    </xf>
    <xf numFmtId="9" fontId="8" fillId="0" borderId="19" xfId="1" applyFont="1" applyBorder="1" applyAlignment="1">
      <alignment horizontal="center" vertical="center"/>
    </xf>
    <xf numFmtId="9" fontId="8" fillId="0" borderId="20" xfId="1" applyFont="1" applyBorder="1" applyAlignment="1">
      <alignment horizontal="center" vertical="center"/>
    </xf>
    <xf numFmtId="9" fontId="8" fillId="0" borderId="21" xfId="1" applyFont="1" applyBorder="1" applyAlignment="1">
      <alignment horizontal="center" vertical="center"/>
    </xf>
    <xf numFmtId="9" fontId="9" fillId="0" borderId="23" xfId="0" applyNumberFormat="1" applyFont="1" applyBorder="1" applyAlignment="1">
      <alignment horizontal="center" vertical="center"/>
    </xf>
    <xf numFmtId="9" fontId="9" fillId="2" borderId="23" xfId="0" applyNumberFormat="1" applyFont="1" applyFill="1" applyBorder="1" applyAlignment="1">
      <alignment horizontal="center" vertical="center"/>
    </xf>
    <xf numFmtId="9" fontId="9" fillId="2" borderId="22" xfId="0" applyNumberFormat="1" applyFont="1" applyFill="1" applyBorder="1" applyAlignment="1">
      <alignment horizontal="center" vertical="center"/>
    </xf>
    <xf numFmtId="9" fontId="9" fillId="2" borderId="24" xfId="0" applyNumberFormat="1" applyFont="1" applyFill="1" applyBorder="1" applyAlignment="1">
      <alignment horizontal="center" vertical="center"/>
    </xf>
    <xf numFmtId="9" fontId="9" fillId="3" borderId="23" xfId="0" applyNumberFormat="1" applyFont="1" applyFill="1" applyBorder="1" applyAlignment="1">
      <alignment horizontal="center" vertical="center"/>
    </xf>
    <xf numFmtId="20" fontId="0" fillId="0" borderId="0" xfId="0" applyNumberFormat="1"/>
  </cellXfs>
  <cellStyles count="2">
    <cellStyle name="Procent" xfId="1" builtinId="5"/>
    <cellStyle name="Standaard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1"/>
  <sheetViews>
    <sheetView tabSelected="1" workbookViewId="0">
      <pane xSplit="7" ySplit="1" topLeftCell="H14" activePane="bottomRight" state="frozen"/>
      <selection pane="topRight" activeCell="H1" sqref="H1"/>
      <selection pane="bottomLeft" activeCell="A2" sqref="A2"/>
      <selection pane="bottomRight" activeCell="L12" sqref="B12:L12"/>
    </sheetView>
  </sheetViews>
  <sheetFormatPr defaultColWidth="8.85546875" defaultRowHeight="15" x14ac:dyDescent="0.25"/>
  <cols>
    <col min="1" max="1" width="5" customWidth="1"/>
    <col min="2" max="2" width="10.28515625" customWidth="1"/>
    <col min="3" max="3" width="11.28515625" customWidth="1"/>
    <col min="4" max="4" width="7.140625" customWidth="1"/>
    <col min="5" max="5" width="11.42578125" customWidth="1"/>
    <col min="6" max="6" width="6.85546875" customWidth="1"/>
    <col min="7" max="7" width="46.140625" customWidth="1"/>
    <col min="8" max="8" width="38.42578125" customWidth="1"/>
    <col min="9" max="9" width="9.7109375" customWidth="1"/>
    <col min="10" max="10" width="18.42578125" customWidth="1"/>
    <col min="11" max="11" width="12.7109375" customWidth="1"/>
    <col min="12" max="12" width="18.42578125" style="3" customWidth="1"/>
    <col min="13" max="13" width="15.140625" style="14" bestFit="1" customWidth="1"/>
    <col min="14" max="14" width="10.42578125" style="5" customWidth="1"/>
    <col min="15" max="23" width="9" style="8" bestFit="1" customWidth="1"/>
    <col min="24" max="24" width="9" style="10" bestFit="1" customWidth="1"/>
    <col min="25" max="26" width="9" style="8" bestFit="1" customWidth="1"/>
  </cols>
  <sheetData>
    <row r="1" spans="1:2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2" t="s">
        <v>12</v>
      </c>
      <c r="N1" s="11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30" t="s">
        <v>22</v>
      </c>
      <c r="X1" s="9" t="s">
        <v>23</v>
      </c>
      <c r="Y1" s="22" t="s">
        <v>24</v>
      </c>
      <c r="Z1" s="23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28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s="3" t="s">
        <v>36</v>
      </c>
      <c r="M2" s="24">
        <v>6</v>
      </c>
      <c r="N2" s="19">
        <v>13</v>
      </c>
      <c r="O2" s="10">
        <v>5</v>
      </c>
      <c r="P2" s="10">
        <v>5</v>
      </c>
      <c r="Q2" s="10">
        <v>5</v>
      </c>
      <c r="R2" s="10">
        <v>5</v>
      </c>
      <c r="S2" s="16">
        <v>5</v>
      </c>
      <c r="T2" s="7">
        <v>5</v>
      </c>
      <c r="U2" s="6">
        <v>5</v>
      </c>
      <c r="V2" s="6">
        <v>5</v>
      </c>
      <c r="W2" s="16">
        <v>5</v>
      </c>
      <c r="X2" s="10">
        <v>5</v>
      </c>
      <c r="Y2" s="16">
        <v>5</v>
      </c>
      <c r="Z2" s="10">
        <v>5</v>
      </c>
    </row>
    <row r="3" spans="1:26" x14ac:dyDescent="0.25">
      <c r="A3" t="s">
        <v>26</v>
      </c>
      <c r="B3" t="s">
        <v>27</v>
      </c>
      <c r="C3" t="s">
        <v>28</v>
      </c>
      <c r="D3" t="s">
        <v>29</v>
      </c>
      <c r="E3" t="s">
        <v>28</v>
      </c>
      <c r="F3" t="s">
        <v>30</v>
      </c>
      <c r="G3" t="s">
        <v>37</v>
      </c>
      <c r="H3" t="s">
        <v>38</v>
      </c>
      <c r="I3" t="s">
        <v>33</v>
      </c>
      <c r="J3" t="s">
        <v>34</v>
      </c>
      <c r="K3" t="s">
        <v>39</v>
      </c>
      <c r="L3" s="3" t="s">
        <v>40</v>
      </c>
      <c r="M3" s="25"/>
      <c r="N3" s="7">
        <v>5</v>
      </c>
      <c r="O3" s="10"/>
      <c r="P3" s="10"/>
      <c r="Q3" s="10"/>
      <c r="R3" s="10"/>
      <c r="S3" s="16"/>
      <c r="T3" s="7"/>
      <c r="U3" s="6"/>
      <c r="V3" s="6"/>
      <c r="W3" s="16"/>
      <c r="Y3" s="16"/>
      <c r="Z3" s="10"/>
    </row>
    <row r="4" spans="1:26" x14ac:dyDescent="0.25">
      <c r="A4" t="s">
        <v>26</v>
      </c>
      <c r="B4" t="s">
        <v>27</v>
      </c>
      <c r="C4" t="s">
        <v>28</v>
      </c>
      <c r="D4" t="s">
        <v>41</v>
      </c>
      <c r="E4" t="s">
        <v>28</v>
      </c>
      <c r="F4" t="s">
        <v>42</v>
      </c>
      <c r="G4" t="s">
        <v>43</v>
      </c>
      <c r="H4" t="s">
        <v>44</v>
      </c>
      <c r="I4" t="s">
        <v>33</v>
      </c>
      <c r="J4" t="s">
        <v>34</v>
      </c>
      <c r="K4" t="s">
        <v>45</v>
      </c>
      <c r="L4" s="3" t="s">
        <v>46</v>
      </c>
      <c r="M4" s="24">
        <v>11</v>
      </c>
      <c r="N4" s="7">
        <v>14</v>
      </c>
      <c r="O4" s="10">
        <v>11</v>
      </c>
      <c r="P4" s="10"/>
      <c r="Q4" s="10"/>
      <c r="R4" s="10">
        <v>0</v>
      </c>
      <c r="S4" s="16">
        <v>3</v>
      </c>
      <c r="T4" s="7"/>
      <c r="U4" s="6">
        <v>7</v>
      </c>
      <c r="V4" s="6"/>
      <c r="W4" s="20">
        <v>11</v>
      </c>
      <c r="X4" s="10">
        <v>10</v>
      </c>
      <c r="Y4" s="16"/>
      <c r="Z4" s="10">
        <v>7</v>
      </c>
    </row>
    <row r="5" spans="1:26" x14ac:dyDescent="0.25">
      <c r="A5" t="s">
        <v>26</v>
      </c>
      <c r="B5" t="s">
        <v>27</v>
      </c>
      <c r="C5" t="s">
        <v>28</v>
      </c>
      <c r="D5" t="s">
        <v>47</v>
      </c>
      <c r="E5" t="s">
        <v>28</v>
      </c>
      <c r="F5" t="s">
        <v>42</v>
      </c>
      <c r="G5" t="s">
        <v>31</v>
      </c>
      <c r="H5" t="s">
        <v>48</v>
      </c>
      <c r="I5" t="s">
        <v>33</v>
      </c>
      <c r="J5" t="s">
        <v>34</v>
      </c>
      <c r="K5" t="s">
        <v>35</v>
      </c>
      <c r="L5" s="3" t="s">
        <v>36</v>
      </c>
      <c r="M5" s="24">
        <v>10</v>
      </c>
      <c r="N5" s="19">
        <v>19</v>
      </c>
      <c r="O5" s="15">
        <v>16</v>
      </c>
      <c r="P5" s="10">
        <v>8</v>
      </c>
      <c r="Q5" s="15">
        <v>16</v>
      </c>
      <c r="R5" s="15">
        <v>15</v>
      </c>
      <c r="S5" s="16">
        <v>9</v>
      </c>
      <c r="T5" s="19">
        <v>16</v>
      </c>
      <c r="U5" s="18">
        <v>15</v>
      </c>
      <c r="V5" s="18">
        <v>15</v>
      </c>
      <c r="W5" s="17">
        <v>16</v>
      </c>
      <c r="X5" s="15">
        <v>16</v>
      </c>
      <c r="Y5" s="17">
        <v>16</v>
      </c>
      <c r="Z5" s="15">
        <v>15</v>
      </c>
    </row>
    <row r="6" spans="1:26" x14ac:dyDescent="0.25">
      <c r="A6" t="s">
        <v>26</v>
      </c>
      <c r="B6" t="s">
        <v>27</v>
      </c>
      <c r="C6" t="s">
        <v>28</v>
      </c>
      <c r="D6" t="s">
        <v>49</v>
      </c>
      <c r="E6" t="s">
        <v>28</v>
      </c>
      <c r="F6" t="s">
        <v>50</v>
      </c>
      <c r="G6" t="s">
        <v>43</v>
      </c>
      <c r="H6" t="s">
        <v>51</v>
      </c>
      <c r="I6" t="s">
        <v>33</v>
      </c>
      <c r="J6" t="s">
        <v>34</v>
      </c>
      <c r="K6" t="s">
        <v>45</v>
      </c>
      <c r="L6" s="3" t="s">
        <v>46</v>
      </c>
      <c r="M6" s="24">
        <v>11</v>
      </c>
      <c r="N6" s="7">
        <v>15</v>
      </c>
      <c r="O6" s="10">
        <v>12</v>
      </c>
      <c r="P6" s="10"/>
      <c r="Q6" s="10"/>
      <c r="R6" s="10">
        <v>0</v>
      </c>
      <c r="S6" s="16"/>
      <c r="T6" s="7"/>
      <c r="U6" s="6"/>
      <c r="V6" s="6"/>
      <c r="W6" s="16">
        <v>11</v>
      </c>
      <c r="X6" s="10">
        <v>12</v>
      </c>
      <c r="Y6" s="16"/>
      <c r="Z6" s="10"/>
    </row>
    <row r="7" spans="1:26" x14ac:dyDescent="0.25">
      <c r="A7" t="s">
        <v>26</v>
      </c>
      <c r="B7" t="s">
        <v>52</v>
      </c>
      <c r="C7" t="s">
        <v>53</v>
      </c>
      <c r="D7" t="s">
        <v>29</v>
      </c>
      <c r="E7" t="s">
        <v>53</v>
      </c>
      <c r="F7" t="s">
        <v>30</v>
      </c>
      <c r="G7" t="s">
        <v>54</v>
      </c>
      <c r="H7" t="s">
        <v>55</v>
      </c>
      <c r="I7" t="s">
        <v>33</v>
      </c>
      <c r="J7" t="s">
        <v>34</v>
      </c>
      <c r="K7" t="s">
        <v>56</v>
      </c>
      <c r="L7" s="3" t="s">
        <v>40</v>
      </c>
      <c r="M7" s="24">
        <v>7</v>
      </c>
      <c r="N7" s="7">
        <v>7</v>
      </c>
      <c r="O7" s="10">
        <v>7</v>
      </c>
      <c r="P7" s="10">
        <v>6</v>
      </c>
      <c r="Q7" s="10">
        <v>7</v>
      </c>
      <c r="R7" s="10">
        <v>6</v>
      </c>
      <c r="S7" s="16">
        <v>4</v>
      </c>
      <c r="T7" s="7">
        <v>7</v>
      </c>
      <c r="U7" s="6">
        <v>6</v>
      </c>
      <c r="V7" s="6">
        <v>7</v>
      </c>
      <c r="W7" s="16">
        <v>7</v>
      </c>
      <c r="X7" s="10">
        <v>7</v>
      </c>
      <c r="Y7" s="16">
        <v>7</v>
      </c>
      <c r="Z7" s="10">
        <v>3</v>
      </c>
    </row>
    <row r="8" spans="1:26" x14ac:dyDescent="0.25">
      <c r="A8" t="s">
        <v>26</v>
      </c>
      <c r="B8" t="s">
        <v>52</v>
      </c>
      <c r="C8" t="s">
        <v>53</v>
      </c>
      <c r="D8" t="s">
        <v>29</v>
      </c>
      <c r="E8" t="s">
        <v>53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57</v>
      </c>
      <c r="L8" s="3" t="s">
        <v>36</v>
      </c>
      <c r="M8" s="24">
        <v>9</v>
      </c>
      <c r="N8" s="19">
        <v>16</v>
      </c>
      <c r="O8" s="10">
        <v>9</v>
      </c>
      <c r="P8" s="10">
        <v>8</v>
      </c>
      <c r="Q8" s="10">
        <v>8</v>
      </c>
      <c r="R8" s="15">
        <v>16</v>
      </c>
      <c r="S8" s="17">
        <v>16</v>
      </c>
      <c r="T8" s="7">
        <v>9</v>
      </c>
      <c r="U8" s="18">
        <v>16</v>
      </c>
      <c r="V8" s="6">
        <v>8</v>
      </c>
      <c r="W8" s="16">
        <v>9</v>
      </c>
      <c r="X8" s="10">
        <v>8</v>
      </c>
      <c r="Y8" s="16">
        <v>9</v>
      </c>
      <c r="Z8" s="10">
        <v>16</v>
      </c>
    </row>
    <row r="9" spans="1:26" x14ac:dyDescent="0.25">
      <c r="A9" t="s">
        <v>26</v>
      </c>
      <c r="B9" t="s">
        <v>52</v>
      </c>
      <c r="C9" t="s">
        <v>53</v>
      </c>
      <c r="D9" t="s">
        <v>47</v>
      </c>
      <c r="E9" t="s">
        <v>53</v>
      </c>
      <c r="F9" t="s">
        <v>42</v>
      </c>
      <c r="G9" t="s">
        <v>58</v>
      </c>
      <c r="H9" t="s">
        <v>59</v>
      </c>
      <c r="I9" t="s">
        <v>33</v>
      </c>
      <c r="J9" t="s">
        <v>34</v>
      </c>
      <c r="K9" t="s">
        <v>56</v>
      </c>
      <c r="L9" s="3" t="s">
        <v>40</v>
      </c>
      <c r="M9" s="24">
        <v>3</v>
      </c>
      <c r="N9" s="7">
        <v>4</v>
      </c>
      <c r="O9" s="10">
        <v>3</v>
      </c>
      <c r="P9" s="10">
        <v>3</v>
      </c>
      <c r="Q9" s="10">
        <v>3</v>
      </c>
      <c r="R9" s="10">
        <v>3</v>
      </c>
      <c r="S9" s="16">
        <v>2</v>
      </c>
      <c r="T9" s="7">
        <v>3</v>
      </c>
      <c r="U9" s="6">
        <v>3</v>
      </c>
      <c r="V9" s="6">
        <v>3</v>
      </c>
      <c r="W9" s="16">
        <v>3</v>
      </c>
      <c r="X9" s="10">
        <v>3</v>
      </c>
      <c r="Y9" s="16">
        <v>3</v>
      </c>
      <c r="Z9" s="10">
        <v>3</v>
      </c>
    </row>
    <row r="10" spans="1:26" x14ac:dyDescent="0.25">
      <c r="A10" t="s">
        <v>26</v>
      </c>
      <c r="B10" t="s">
        <v>52</v>
      </c>
      <c r="C10" t="s">
        <v>53</v>
      </c>
      <c r="D10" t="s">
        <v>47</v>
      </c>
      <c r="E10" t="s">
        <v>53</v>
      </c>
      <c r="F10" t="s">
        <v>42</v>
      </c>
      <c r="G10" t="s">
        <v>58</v>
      </c>
      <c r="H10" t="s">
        <v>60</v>
      </c>
      <c r="I10" t="s">
        <v>33</v>
      </c>
      <c r="J10" t="s">
        <v>34</v>
      </c>
      <c r="K10" t="s">
        <v>61</v>
      </c>
      <c r="L10" s="3" t="s">
        <v>36</v>
      </c>
      <c r="M10" s="24">
        <v>6</v>
      </c>
      <c r="N10" s="7">
        <v>11</v>
      </c>
      <c r="O10" s="10">
        <v>9</v>
      </c>
      <c r="P10" s="10"/>
      <c r="Q10" s="10"/>
      <c r="R10" s="10">
        <v>6</v>
      </c>
      <c r="S10" s="16"/>
      <c r="T10" s="7"/>
      <c r="U10" s="6"/>
      <c r="V10" s="6"/>
      <c r="W10" s="16">
        <v>9</v>
      </c>
      <c r="X10" s="10">
        <v>8</v>
      </c>
      <c r="Y10" s="16">
        <v>6</v>
      </c>
      <c r="Z10" s="10"/>
    </row>
    <row r="11" spans="1:26" x14ac:dyDescent="0.25">
      <c r="A11" t="s">
        <v>26</v>
      </c>
      <c r="B11" t="s">
        <v>62</v>
      </c>
      <c r="C11" t="s">
        <v>63</v>
      </c>
      <c r="D11" t="s">
        <v>49</v>
      </c>
      <c r="E11" t="s">
        <v>63</v>
      </c>
      <c r="F11" t="s">
        <v>64</v>
      </c>
      <c r="G11" t="s">
        <v>31</v>
      </c>
      <c r="H11" t="s">
        <v>48</v>
      </c>
      <c r="I11" t="s">
        <v>33</v>
      </c>
      <c r="J11" t="s">
        <v>34</v>
      </c>
      <c r="K11" t="s">
        <v>65</v>
      </c>
      <c r="L11" s="3" t="s">
        <v>36</v>
      </c>
      <c r="M11" s="24">
        <v>9</v>
      </c>
      <c r="N11" s="7">
        <v>13</v>
      </c>
      <c r="O11" s="10">
        <v>13</v>
      </c>
      <c r="P11" s="10">
        <v>11</v>
      </c>
      <c r="Q11" s="15">
        <v>14</v>
      </c>
      <c r="R11" s="15">
        <v>16</v>
      </c>
      <c r="S11" s="16">
        <v>7</v>
      </c>
      <c r="T11" s="7">
        <v>13</v>
      </c>
      <c r="U11" s="6">
        <v>13</v>
      </c>
      <c r="V11" s="18">
        <v>17</v>
      </c>
      <c r="W11" s="16">
        <v>12</v>
      </c>
      <c r="X11" s="10">
        <v>13</v>
      </c>
      <c r="Y11" s="16">
        <v>13</v>
      </c>
      <c r="Z11" s="10">
        <v>13</v>
      </c>
    </row>
    <row r="12" spans="1:26" x14ac:dyDescent="0.25">
      <c r="A12" t="s">
        <v>26</v>
      </c>
      <c r="B12" t="s">
        <v>66</v>
      </c>
      <c r="C12" t="s">
        <v>67</v>
      </c>
      <c r="D12" t="s">
        <v>41</v>
      </c>
      <c r="E12" t="s">
        <v>67</v>
      </c>
      <c r="F12" t="s">
        <v>30</v>
      </c>
      <c r="G12" t="s">
        <v>68</v>
      </c>
      <c r="H12" t="s">
        <v>69</v>
      </c>
      <c r="I12" t="s">
        <v>33</v>
      </c>
      <c r="J12" t="s">
        <v>34</v>
      </c>
      <c r="K12" t="s">
        <v>70</v>
      </c>
      <c r="L12" s="3" t="s">
        <v>40</v>
      </c>
      <c r="M12" s="26"/>
      <c r="N12" s="7">
        <v>27</v>
      </c>
      <c r="O12" s="10">
        <v>13</v>
      </c>
      <c r="P12" s="10">
        <v>13</v>
      </c>
      <c r="Q12" s="10">
        <v>13</v>
      </c>
      <c r="R12" s="10">
        <v>13</v>
      </c>
      <c r="S12" s="16">
        <v>8</v>
      </c>
      <c r="T12" s="7">
        <v>13</v>
      </c>
      <c r="U12" s="6">
        <v>13</v>
      </c>
      <c r="V12" s="6">
        <v>3</v>
      </c>
      <c r="W12" s="16">
        <v>13</v>
      </c>
      <c r="X12" s="10">
        <v>13</v>
      </c>
      <c r="Y12" s="16">
        <v>13</v>
      </c>
      <c r="Z12" s="10">
        <v>13</v>
      </c>
    </row>
    <row r="13" spans="1:26" x14ac:dyDescent="0.25">
      <c r="A13" t="s">
        <v>26</v>
      </c>
      <c r="B13" t="s">
        <v>66</v>
      </c>
      <c r="C13" t="s">
        <v>67</v>
      </c>
      <c r="D13" t="s">
        <v>47</v>
      </c>
      <c r="E13" t="s">
        <v>67</v>
      </c>
      <c r="F13" t="s">
        <v>42</v>
      </c>
      <c r="G13" t="s">
        <v>68</v>
      </c>
      <c r="H13" t="s">
        <v>69</v>
      </c>
      <c r="I13" t="s">
        <v>33</v>
      </c>
      <c r="J13" t="s">
        <v>34</v>
      </c>
      <c r="K13" t="s">
        <v>70</v>
      </c>
      <c r="L13" s="3" t="s">
        <v>40</v>
      </c>
      <c r="M13" s="26"/>
      <c r="N13" s="7">
        <v>27</v>
      </c>
      <c r="O13" s="10">
        <v>15</v>
      </c>
      <c r="P13" s="10">
        <v>13</v>
      </c>
      <c r="Q13" s="10">
        <v>15</v>
      </c>
      <c r="R13" s="10">
        <v>18</v>
      </c>
      <c r="S13" s="16">
        <v>12</v>
      </c>
      <c r="T13" s="7">
        <v>14</v>
      </c>
      <c r="U13" s="6">
        <v>18</v>
      </c>
      <c r="V13" s="6">
        <v>13</v>
      </c>
      <c r="W13" s="16">
        <v>15</v>
      </c>
      <c r="X13" s="10">
        <v>13</v>
      </c>
      <c r="Y13" s="16">
        <v>15</v>
      </c>
      <c r="Z13" s="10">
        <v>18</v>
      </c>
    </row>
    <row r="14" spans="1:26" ht="18.75" customHeight="1" x14ac:dyDescent="0.25">
      <c r="A14" t="s">
        <v>26</v>
      </c>
      <c r="B14" t="s">
        <v>66</v>
      </c>
      <c r="C14" t="s">
        <v>67</v>
      </c>
      <c r="D14" t="s">
        <v>49</v>
      </c>
      <c r="E14" t="s">
        <v>67</v>
      </c>
      <c r="F14" t="s">
        <v>64</v>
      </c>
      <c r="G14" t="s">
        <v>71</v>
      </c>
      <c r="H14" t="s">
        <v>72</v>
      </c>
      <c r="I14" t="s">
        <v>73</v>
      </c>
      <c r="J14" t="s">
        <v>34</v>
      </c>
      <c r="K14" t="s">
        <v>74</v>
      </c>
      <c r="L14" s="3" t="s">
        <v>75</v>
      </c>
      <c r="M14" s="25"/>
      <c r="N14" s="7"/>
      <c r="O14" s="10"/>
      <c r="P14" s="10"/>
      <c r="Q14" s="10"/>
      <c r="R14" s="10"/>
      <c r="S14" s="16"/>
      <c r="T14" s="7"/>
      <c r="U14" s="6"/>
      <c r="V14" s="6"/>
      <c r="W14" s="16"/>
      <c r="Y14" s="16">
        <v>5</v>
      </c>
      <c r="Z14" s="10"/>
    </row>
    <row r="15" spans="1:26" x14ac:dyDescent="0.25">
      <c r="A15" t="s">
        <v>26</v>
      </c>
      <c r="B15" t="s">
        <v>76</v>
      </c>
      <c r="C15" t="s">
        <v>77</v>
      </c>
      <c r="D15" t="s">
        <v>29</v>
      </c>
      <c r="E15" t="s">
        <v>77</v>
      </c>
      <c r="F15" s="74">
        <v>0.42708333333333331</v>
      </c>
      <c r="G15" t="s">
        <v>54</v>
      </c>
      <c r="H15" t="s">
        <v>69</v>
      </c>
      <c r="I15" t="s">
        <v>33</v>
      </c>
      <c r="J15" t="s">
        <v>34</v>
      </c>
      <c r="K15" t="s">
        <v>61</v>
      </c>
      <c r="L15" s="3" t="s">
        <v>46</v>
      </c>
      <c r="M15" s="24">
        <v>3</v>
      </c>
      <c r="N15" s="7">
        <v>6</v>
      </c>
      <c r="O15" s="10">
        <v>3</v>
      </c>
      <c r="P15" s="10"/>
      <c r="Q15" s="10">
        <v>3</v>
      </c>
      <c r="R15" s="10">
        <v>6</v>
      </c>
      <c r="S15" s="16">
        <v>4</v>
      </c>
      <c r="T15" s="7">
        <v>3</v>
      </c>
      <c r="U15" s="6">
        <v>6</v>
      </c>
      <c r="V15" s="6">
        <v>2</v>
      </c>
      <c r="W15" s="16">
        <v>3</v>
      </c>
      <c r="X15" s="10">
        <v>3</v>
      </c>
      <c r="Y15" s="16">
        <v>3</v>
      </c>
      <c r="Z15" s="10">
        <v>6</v>
      </c>
    </row>
    <row r="16" spans="1:26" x14ac:dyDescent="0.25">
      <c r="A16" t="s">
        <v>26</v>
      </c>
      <c r="B16" t="s">
        <v>76</v>
      </c>
      <c r="C16" t="s">
        <v>77</v>
      </c>
      <c r="D16" t="s">
        <v>47</v>
      </c>
      <c r="E16" t="s">
        <v>77</v>
      </c>
      <c r="F16" t="s">
        <v>42</v>
      </c>
      <c r="G16" t="s">
        <v>78</v>
      </c>
      <c r="H16" t="s">
        <v>79</v>
      </c>
      <c r="I16" t="s">
        <v>33</v>
      </c>
      <c r="J16" t="s">
        <v>34</v>
      </c>
      <c r="K16" t="s">
        <v>70</v>
      </c>
      <c r="L16" s="3" t="s">
        <v>46</v>
      </c>
      <c r="M16" s="24">
        <v>10</v>
      </c>
      <c r="N16" s="19">
        <v>20</v>
      </c>
      <c r="O16" s="10">
        <v>10</v>
      </c>
      <c r="P16" s="10"/>
      <c r="Q16" s="15"/>
      <c r="R16" s="15">
        <v>0</v>
      </c>
      <c r="S16" s="16"/>
      <c r="T16" s="7"/>
      <c r="U16" s="6"/>
      <c r="V16" s="6"/>
      <c r="W16" s="16">
        <v>10</v>
      </c>
      <c r="X16" s="10">
        <v>10</v>
      </c>
      <c r="Y16" s="16">
        <v>10</v>
      </c>
      <c r="Z16" s="10"/>
    </row>
    <row r="17" spans="1:26" x14ac:dyDescent="0.25">
      <c r="A17" t="s">
        <v>26</v>
      </c>
      <c r="B17" t="s">
        <v>76</v>
      </c>
      <c r="C17" t="s">
        <v>77</v>
      </c>
      <c r="D17" t="s">
        <v>47</v>
      </c>
      <c r="E17" t="s">
        <v>77</v>
      </c>
      <c r="F17" t="s">
        <v>42</v>
      </c>
      <c r="G17" t="s">
        <v>37</v>
      </c>
      <c r="H17" t="s">
        <v>38</v>
      </c>
      <c r="I17" t="s">
        <v>33</v>
      </c>
      <c r="J17" t="s">
        <v>34</v>
      </c>
      <c r="K17" t="s">
        <v>80</v>
      </c>
      <c r="L17" s="3" t="s">
        <v>40</v>
      </c>
      <c r="M17" s="25"/>
      <c r="N17" s="7"/>
      <c r="O17" s="10"/>
      <c r="P17" s="10"/>
      <c r="Q17" s="10"/>
      <c r="R17" s="10"/>
      <c r="S17" s="16"/>
      <c r="T17" s="7"/>
      <c r="U17" s="6"/>
      <c r="V17" s="6"/>
      <c r="W17" s="16"/>
      <c r="Y17" s="16"/>
      <c r="Z17" s="10"/>
    </row>
    <row r="18" spans="1:26" x14ac:dyDescent="0.25">
      <c r="A18" t="s">
        <v>26</v>
      </c>
      <c r="B18" t="s">
        <v>76</v>
      </c>
      <c r="C18" t="s">
        <v>77</v>
      </c>
      <c r="D18" t="s">
        <v>49</v>
      </c>
      <c r="E18" t="s">
        <v>77</v>
      </c>
      <c r="F18" t="s">
        <v>64</v>
      </c>
      <c r="G18" t="s">
        <v>78</v>
      </c>
      <c r="H18" t="s">
        <v>81</v>
      </c>
      <c r="I18" t="s">
        <v>33</v>
      </c>
      <c r="J18" t="s">
        <v>34</v>
      </c>
      <c r="K18" t="s">
        <v>70</v>
      </c>
      <c r="L18" s="3" t="s">
        <v>46</v>
      </c>
      <c r="M18" s="24">
        <v>6</v>
      </c>
      <c r="N18" s="7">
        <v>9</v>
      </c>
      <c r="O18" s="10">
        <v>11</v>
      </c>
      <c r="P18" s="10"/>
      <c r="Q18" s="15"/>
      <c r="R18" s="15">
        <v>0</v>
      </c>
      <c r="S18" s="16"/>
      <c r="T18" s="7"/>
      <c r="U18" s="6"/>
      <c r="V18" s="6"/>
      <c r="W18" s="16"/>
      <c r="X18" s="10">
        <v>5</v>
      </c>
      <c r="Y18" s="16">
        <v>5</v>
      </c>
      <c r="Z18" s="10"/>
    </row>
    <row r="19" spans="1:26" x14ac:dyDescent="0.25">
      <c r="A19" t="s">
        <v>26</v>
      </c>
      <c r="B19" t="s">
        <v>76</v>
      </c>
      <c r="C19" t="s">
        <v>77</v>
      </c>
      <c r="D19" t="s">
        <v>49</v>
      </c>
      <c r="E19" t="s">
        <v>77</v>
      </c>
      <c r="F19" t="s">
        <v>64</v>
      </c>
      <c r="G19" t="s">
        <v>82</v>
      </c>
      <c r="H19" t="s">
        <v>83</v>
      </c>
      <c r="I19" t="s">
        <v>33</v>
      </c>
      <c r="J19" t="s">
        <v>34</v>
      </c>
      <c r="K19" t="s">
        <v>39</v>
      </c>
      <c r="L19" s="3" t="s">
        <v>40</v>
      </c>
      <c r="M19" s="25"/>
      <c r="N19" s="7"/>
      <c r="O19" s="10"/>
      <c r="P19" s="10"/>
      <c r="Q19" s="10"/>
      <c r="R19" s="10"/>
      <c r="S19" s="16"/>
      <c r="T19" s="7"/>
      <c r="U19" s="6"/>
      <c r="V19" s="6"/>
      <c r="W19" s="16"/>
      <c r="Y19" s="16"/>
      <c r="Z19" s="10"/>
    </row>
    <row r="20" spans="1:26" x14ac:dyDescent="0.25">
      <c r="A20" t="s">
        <v>84</v>
      </c>
      <c r="B20" t="s">
        <v>27</v>
      </c>
      <c r="C20" t="s">
        <v>85</v>
      </c>
      <c r="D20" t="s">
        <v>29</v>
      </c>
      <c r="E20" t="s">
        <v>85</v>
      </c>
      <c r="F20" t="s">
        <v>30</v>
      </c>
      <c r="G20" t="s">
        <v>31</v>
      </c>
      <c r="H20" t="s">
        <v>32</v>
      </c>
      <c r="I20" t="s">
        <v>33</v>
      </c>
      <c r="J20" t="s">
        <v>34</v>
      </c>
      <c r="K20" t="s">
        <v>35</v>
      </c>
      <c r="L20" s="3" t="s">
        <v>36</v>
      </c>
      <c r="M20" s="24">
        <v>7</v>
      </c>
      <c r="N20" s="7">
        <v>18</v>
      </c>
      <c r="O20" s="10">
        <v>8</v>
      </c>
      <c r="P20" s="10">
        <v>7</v>
      </c>
      <c r="Q20" s="10"/>
      <c r="R20" s="15">
        <v>26</v>
      </c>
      <c r="S20" s="16">
        <v>11</v>
      </c>
      <c r="T20" s="7"/>
      <c r="U20" s="6">
        <v>12</v>
      </c>
      <c r="V20" s="6">
        <v>7</v>
      </c>
      <c r="W20" s="16">
        <v>8</v>
      </c>
      <c r="X20" s="10">
        <v>7</v>
      </c>
      <c r="Y20" s="16">
        <v>7</v>
      </c>
      <c r="Z20" s="10">
        <v>12</v>
      </c>
    </row>
    <row r="21" spans="1:26" x14ac:dyDescent="0.25">
      <c r="A21" t="s">
        <v>84</v>
      </c>
      <c r="B21" t="s">
        <v>27</v>
      </c>
      <c r="C21" t="s">
        <v>85</v>
      </c>
      <c r="D21" t="s">
        <v>29</v>
      </c>
      <c r="E21" t="s">
        <v>85</v>
      </c>
      <c r="F21" t="s">
        <v>30</v>
      </c>
      <c r="G21" t="s">
        <v>37</v>
      </c>
      <c r="H21" t="s">
        <v>38</v>
      </c>
      <c r="I21" t="s">
        <v>33</v>
      </c>
      <c r="J21" t="s">
        <v>34</v>
      </c>
      <c r="K21" t="s">
        <v>39</v>
      </c>
      <c r="L21" s="3" t="s">
        <v>40</v>
      </c>
      <c r="M21" s="25"/>
      <c r="N21" s="7"/>
      <c r="O21" s="10"/>
      <c r="P21" s="10"/>
      <c r="Q21" s="10"/>
      <c r="R21" s="10"/>
      <c r="S21" s="16"/>
      <c r="T21" s="7"/>
      <c r="U21" s="6"/>
      <c r="V21" s="6"/>
      <c r="W21" s="16"/>
      <c r="Y21" s="16"/>
      <c r="Z21" s="10"/>
    </row>
    <row r="22" spans="1:26" x14ac:dyDescent="0.25">
      <c r="A22" t="s">
        <v>84</v>
      </c>
      <c r="B22" t="s">
        <v>27</v>
      </c>
      <c r="C22" t="s">
        <v>85</v>
      </c>
      <c r="D22" t="s">
        <v>41</v>
      </c>
      <c r="E22" t="s">
        <v>85</v>
      </c>
      <c r="F22" t="s">
        <v>42</v>
      </c>
      <c r="G22" t="s">
        <v>43</v>
      </c>
      <c r="H22" t="s">
        <v>44</v>
      </c>
      <c r="I22" t="s">
        <v>33</v>
      </c>
      <c r="J22" t="s">
        <v>34</v>
      </c>
      <c r="K22" t="s">
        <v>45</v>
      </c>
      <c r="L22" s="3" t="s">
        <v>46</v>
      </c>
      <c r="M22" s="24">
        <v>15</v>
      </c>
      <c r="N22" s="7">
        <v>19</v>
      </c>
      <c r="O22" s="10">
        <v>13</v>
      </c>
      <c r="P22" s="10"/>
      <c r="Q22" s="10"/>
      <c r="R22" s="10">
        <v>0</v>
      </c>
      <c r="S22" s="16">
        <v>6</v>
      </c>
      <c r="T22" s="7"/>
      <c r="U22" s="6">
        <v>9</v>
      </c>
      <c r="V22" s="6"/>
      <c r="W22" s="16">
        <v>13</v>
      </c>
      <c r="X22" s="10">
        <v>13</v>
      </c>
      <c r="Y22" s="16"/>
      <c r="Z22" s="10">
        <v>9</v>
      </c>
    </row>
    <row r="23" spans="1:26" x14ac:dyDescent="0.25">
      <c r="A23" t="s">
        <v>84</v>
      </c>
      <c r="B23" t="s">
        <v>27</v>
      </c>
      <c r="C23" t="s">
        <v>85</v>
      </c>
      <c r="D23" t="s">
        <v>47</v>
      </c>
      <c r="E23" t="s">
        <v>85</v>
      </c>
      <c r="F23" t="s">
        <v>42</v>
      </c>
      <c r="G23" t="s">
        <v>31</v>
      </c>
      <c r="H23" t="s">
        <v>48</v>
      </c>
      <c r="I23" t="s">
        <v>33</v>
      </c>
      <c r="J23" t="s">
        <v>34</v>
      </c>
      <c r="K23" t="s">
        <v>35</v>
      </c>
      <c r="L23" s="3" t="s">
        <v>36</v>
      </c>
      <c r="M23" s="24">
        <v>10</v>
      </c>
      <c r="N23" s="19">
        <v>21</v>
      </c>
      <c r="O23" s="10">
        <v>18</v>
      </c>
      <c r="P23" s="10">
        <v>7</v>
      </c>
      <c r="Q23" s="15">
        <v>24</v>
      </c>
      <c r="R23" s="15">
        <v>35</v>
      </c>
      <c r="S23" s="16">
        <v>10</v>
      </c>
      <c r="T23" s="19"/>
      <c r="U23" s="18">
        <v>20</v>
      </c>
      <c r="V23" s="18">
        <v>21</v>
      </c>
      <c r="W23" s="17">
        <v>16</v>
      </c>
      <c r="X23" s="15">
        <v>18</v>
      </c>
      <c r="Y23" s="17">
        <v>20</v>
      </c>
      <c r="Z23" s="15">
        <v>19</v>
      </c>
    </row>
    <row r="24" spans="1:26" x14ac:dyDescent="0.25">
      <c r="A24" t="s">
        <v>84</v>
      </c>
      <c r="B24" t="s">
        <v>27</v>
      </c>
      <c r="C24" t="s">
        <v>85</v>
      </c>
      <c r="D24" t="s">
        <v>49</v>
      </c>
      <c r="E24" t="s">
        <v>85</v>
      </c>
      <c r="F24" t="s">
        <v>50</v>
      </c>
      <c r="G24" t="s">
        <v>43</v>
      </c>
      <c r="H24" t="s">
        <v>51</v>
      </c>
      <c r="I24" t="s">
        <v>33</v>
      </c>
      <c r="J24" t="s">
        <v>34</v>
      </c>
      <c r="K24" t="s">
        <v>45</v>
      </c>
      <c r="L24" s="3" t="s">
        <v>46</v>
      </c>
      <c r="M24" s="24">
        <v>12</v>
      </c>
      <c r="N24" s="19">
        <v>19</v>
      </c>
      <c r="O24" s="10">
        <v>14</v>
      </c>
      <c r="P24" s="10"/>
      <c r="Q24" s="10"/>
      <c r="R24" s="10">
        <v>0</v>
      </c>
      <c r="S24" s="16"/>
      <c r="T24" s="7"/>
      <c r="U24" s="6"/>
      <c r="V24" s="6"/>
      <c r="W24" s="16">
        <v>14</v>
      </c>
      <c r="X24" s="10">
        <v>15</v>
      </c>
      <c r="Y24" s="16"/>
      <c r="Z24" s="10"/>
    </row>
    <row r="25" spans="1:26" ht="30" x14ac:dyDescent="0.25">
      <c r="A25" t="s">
        <v>84</v>
      </c>
      <c r="B25" t="s">
        <v>27</v>
      </c>
      <c r="C25" t="s">
        <v>85</v>
      </c>
      <c r="D25" t="s">
        <v>49</v>
      </c>
      <c r="E25" t="s">
        <v>85</v>
      </c>
      <c r="F25" t="s">
        <v>64</v>
      </c>
      <c r="G25" t="s">
        <v>71</v>
      </c>
      <c r="H25" t="s">
        <v>86</v>
      </c>
      <c r="I25" t="s">
        <v>87</v>
      </c>
      <c r="J25" t="s">
        <v>34</v>
      </c>
      <c r="K25" t="s">
        <v>88</v>
      </c>
      <c r="L25" s="3" t="s">
        <v>75</v>
      </c>
      <c r="M25" s="26"/>
      <c r="N25" s="7">
        <v>13</v>
      </c>
      <c r="O25" s="10">
        <v>14</v>
      </c>
      <c r="P25" s="10">
        <v>11</v>
      </c>
      <c r="Q25" s="10">
        <v>14</v>
      </c>
      <c r="R25" s="10">
        <v>18</v>
      </c>
      <c r="S25" s="16">
        <v>15</v>
      </c>
      <c r="T25" s="7">
        <v>12</v>
      </c>
      <c r="U25" s="6"/>
      <c r="V25" s="6">
        <v>11</v>
      </c>
      <c r="W25" s="21">
        <v>14</v>
      </c>
      <c r="X25" s="10">
        <v>14</v>
      </c>
      <c r="Y25" s="16">
        <v>12</v>
      </c>
      <c r="Z25" s="10">
        <v>18</v>
      </c>
    </row>
    <row r="26" spans="1:26" ht="30" x14ac:dyDescent="0.25">
      <c r="A26" t="s">
        <v>84</v>
      </c>
      <c r="B26" t="s">
        <v>27</v>
      </c>
      <c r="C26" t="s">
        <v>85</v>
      </c>
      <c r="D26" t="s">
        <v>89</v>
      </c>
      <c r="E26" t="s">
        <v>85</v>
      </c>
      <c r="F26" t="s">
        <v>90</v>
      </c>
      <c r="G26" t="s">
        <v>71</v>
      </c>
      <c r="H26" t="s">
        <v>91</v>
      </c>
      <c r="I26" t="s">
        <v>87</v>
      </c>
      <c r="J26" t="s">
        <v>34</v>
      </c>
      <c r="K26" t="s">
        <v>56</v>
      </c>
      <c r="L26" s="3" t="s">
        <v>75</v>
      </c>
      <c r="M26" s="24">
        <v>5</v>
      </c>
      <c r="N26" s="7">
        <v>5</v>
      </c>
      <c r="O26" s="10">
        <v>7</v>
      </c>
      <c r="P26" s="10">
        <v>5</v>
      </c>
      <c r="Q26" s="15">
        <v>10</v>
      </c>
      <c r="R26" s="10">
        <v>7</v>
      </c>
      <c r="S26" s="16">
        <v>5</v>
      </c>
      <c r="T26" s="7">
        <v>7</v>
      </c>
      <c r="U26" s="6"/>
      <c r="V26" s="18">
        <v>9</v>
      </c>
      <c r="W26" s="16">
        <v>7</v>
      </c>
      <c r="X26" s="10">
        <v>7</v>
      </c>
      <c r="Y26" s="16">
        <v>9</v>
      </c>
      <c r="Z26" s="10">
        <v>5</v>
      </c>
    </row>
    <row r="27" spans="1:26" x14ac:dyDescent="0.25">
      <c r="A27" t="s">
        <v>84</v>
      </c>
      <c r="B27" t="s">
        <v>52</v>
      </c>
      <c r="C27" t="s">
        <v>92</v>
      </c>
      <c r="D27" t="s">
        <v>29</v>
      </c>
      <c r="E27" t="s">
        <v>92</v>
      </c>
      <c r="F27" t="s">
        <v>30</v>
      </c>
      <c r="G27" t="s">
        <v>54</v>
      </c>
      <c r="H27" t="s">
        <v>55</v>
      </c>
      <c r="I27" t="s">
        <v>33</v>
      </c>
      <c r="J27" t="s">
        <v>34</v>
      </c>
      <c r="K27" t="s">
        <v>56</v>
      </c>
      <c r="L27" s="3" t="s">
        <v>40</v>
      </c>
      <c r="M27" s="24">
        <v>3</v>
      </c>
      <c r="N27" s="7">
        <v>4</v>
      </c>
      <c r="O27" s="10">
        <v>4</v>
      </c>
      <c r="P27" s="10">
        <v>3</v>
      </c>
      <c r="Q27" s="10">
        <v>4</v>
      </c>
      <c r="R27" s="10">
        <v>3</v>
      </c>
      <c r="S27" s="16">
        <v>3</v>
      </c>
      <c r="T27" s="7">
        <v>4</v>
      </c>
      <c r="U27" s="6">
        <v>3</v>
      </c>
      <c r="V27" s="6">
        <v>3</v>
      </c>
      <c r="W27" s="16">
        <v>4</v>
      </c>
      <c r="X27" s="10">
        <v>4</v>
      </c>
      <c r="Y27" s="16">
        <v>4</v>
      </c>
      <c r="Z27" s="10">
        <v>3</v>
      </c>
    </row>
    <row r="28" spans="1:26" x14ac:dyDescent="0.25">
      <c r="A28" t="s">
        <v>84</v>
      </c>
      <c r="B28" t="s">
        <v>52</v>
      </c>
      <c r="C28" t="s">
        <v>92</v>
      </c>
      <c r="D28" t="s">
        <v>29</v>
      </c>
      <c r="E28" t="s">
        <v>92</v>
      </c>
      <c r="F28" t="s">
        <v>30</v>
      </c>
      <c r="G28" t="s">
        <v>31</v>
      </c>
      <c r="H28" t="s">
        <v>32</v>
      </c>
      <c r="I28" t="s">
        <v>33</v>
      </c>
      <c r="J28" t="s">
        <v>34</v>
      </c>
      <c r="K28" t="s">
        <v>93</v>
      </c>
      <c r="L28" s="3" t="s">
        <v>36</v>
      </c>
      <c r="M28" s="24">
        <v>7</v>
      </c>
      <c r="N28" s="19">
        <v>12</v>
      </c>
      <c r="O28" s="10">
        <v>6</v>
      </c>
      <c r="P28" s="10">
        <v>6</v>
      </c>
      <c r="Q28" s="10">
        <v>6</v>
      </c>
      <c r="R28" s="15">
        <v>11</v>
      </c>
      <c r="S28" s="16">
        <v>11</v>
      </c>
      <c r="T28" s="7">
        <v>5</v>
      </c>
      <c r="U28" s="6">
        <v>11</v>
      </c>
      <c r="V28" s="6">
        <v>6</v>
      </c>
      <c r="W28" s="16">
        <v>6</v>
      </c>
      <c r="X28" s="10">
        <v>6</v>
      </c>
      <c r="Y28" s="16">
        <v>6</v>
      </c>
      <c r="Z28" s="10">
        <v>11</v>
      </c>
    </row>
    <row r="29" spans="1:26" x14ac:dyDescent="0.25">
      <c r="A29" t="s">
        <v>84</v>
      </c>
      <c r="B29" t="s">
        <v>52</v>
      </c>
      <c r="C29" t="s">
        <v>92</v>
      </c>
      <c r="D29" t="s">
        <v>47</v>
      </c>
      <c r="E29" t="s">
        <v>92</v>
      </c>
      <c r="F29" t="s">
        <v>42</v>
      </c>
      <c r="G29" t="s">
        <v>58</v>
      </c>
      <c r="H29" t="s">
        <v>59</v>
      </c>
      <c r="I29" t="s">
        <v>33</v>
      </c>
      <c r="J29" t="s">
        <v>34</v>
      </c>
      <c r="K29" t="s">
        <v>56</v>
      </c>
      <c r="L29" s="3" t="s">
        <v>40</v>
      </c>
      <c r="M29" s="24">
        <v>3</v>
      </c>
      <c r="N29" s="7">
        <v>3</v>
      </c>
      <c r="O29" s="10">
        <v>3</v>
      </c>
      <c r="P29" s="10">
        <v>3</v>
      </c>
      <c r="Q29" s="10">
        <v>3</v>
      </c>
      <c r="R29" s="10">
        <v>3</v>
      </c>
      <c r="S29" s="16">
        <v>2</v>
      </c>
      <c r="T29" s="7">
        <v>3</v>
      </c>
      <c r="U29" s="6">
        <v>3</v>
      </c>
      <c r="V29" s="6">
        <v>3</v>
      </c>
      <c r="W29" s="16">
        <v>3</v>
      </c>
      <c r="X29" s="10">
        <v>3</v>
      </c>
      <c r="Y29" s="16">
        <v>3</v>
      </c>
      <c r="Z29" s="10">
        <v>3</v>
      </c>
    </row>
    <row r="30" spans="1:26" x14ac:dyDescent="0.25">
      <c r="A30" t="s">
        <v>84</v>
      </c>
      <c r="B30" t="s">
        <v>52</v>
      </c>
      <c r="C30" t="s">
        <v>92</v>
      </c>
      <c r="D30" t="s">
        <v>47</v>
      </c>
      <c r="E30" t="s">
        <v>92</v>
      </c>
      <c r="F30" t="s">
        <v>42</v>
      </c>
      <c r="G30" t="s">
        <v>58</v>
      </c>
      <c r="H30" t="s">
        <v>60</v>
      </c>
      <c r="I30" t="s">
        <v>33</v>
      </c>
      <c r="J30" t="s">
        <v>34</v>
      </c>
      <c r="K30" t="s">
        <v>61</v>
      </c>
      <c r="L30" s="3" t="s">
        <v>36</v>
      </c>
      <c r="M30" s="24">
        <v>7</v>
      </c>
      <c r="N30" s="19">
        <v>12</v>
      </c>
      <c r="O30" s="10">
        <v>7</v>
      </c>
      <c r="P30" s="10"/>
      <c r="Q30" s="10"/>
      <c r="R30" s="10">
        <v>0</v>
      </c>
      <c r="S30" s="16"/>
      <c r="T30" s="7"/>
      <c r="U30" s="6"/>
      <c r="V30" s="6"/>
      <c r="W30" s="16">
        <v>7</v>
      </c>
      <c r="X30" s="10">
        <v>7</v>
      </c>
      <c r="Y30" s="16">
        <v>7</v>
      </c>
      <c r="Z30" s="10"/>
    </row>
    <row r="31" spans="1:26" x14ac:dyDescent="0.25">
      <c r="A31" t="s">
        <v>84</v>
      </c>
      <c r="B31" t="s">
        <v>62</v>
      </c>
      <c r="C31" t="s">
        <v>94</v>
      </c>
      <c r="D31" t="s">
        <v>49</v>
      </c>
      <c r="E31" t="s">
        <v>94</v>
      </c>
      <c r="F31" t="s">
        <v>64</v>
      </c>
      <c r="G31" t="s">
        <v>31</v>
      </c>
      <c r="H31" t="s">
        <v>48</v>
      </c>
      <c r="I31" t="s">
        <v>33</v>
      </c>
      <c r="J31" t="s">
        <v>34</v>
      </c>
      <c r="K31" t="s">
        <v>65</v>
      </c>
      <c r="L31" s="3" t="s">
        <v>36</v>
      </c>
      <c r="M31" s="25"/>
      <c r="N31" s="7">
        <v>7</v>
      </c>
      <c r="O31" s="10">
        <v>7</v>
      </c>
      <c r="P31" s="10">
        <v>4</v>
      </c>
      <c r="Q31" s="10">
        <v>7</v>
      </c>
      <c r="R31" s="10">
        <v>7</v>
      </c>
      <c r="S31" s="16">
        <v>5</v>
      </c>
      <c r="T31" s="7">
        <v>7</v>
      </c>
      <c r="U31" s="6">
        <v>7</v>
      </c>
      <c r="V31" s="6">
        <v>9</v>
      </c>
      <c r="W31" s="16">
        <v>6</v>
      </c>
      <c r="X31" s="10">
        <v>6</v>
      </c>
      <c r="Y31" s="16">
        <v>7</v>
      </c>
      <c r="Z31" s="10">
        <v>7</v>
      </c>
    </row>
    <row r="32" spans="1:26" x14ac:dyDescent="0.25">
      <c r="A32" t="s">
        <v>84</v>
      </c>
      <c r="B32" t="s">
        <v>66</v>
      </c>
      <c r="C32" t="s">
        <v>95</v>
      </c>
      <c r="D32" t="s">
        <v>41</v>
      </c>
      <c r="E32" t="s">
        <v>95</v>
      </c>
      <c r="F32" t="s">
        <v>30</v>
      </c>
      <c r="G32" t="s">
        <v>68</v>
      </c>
      <c r="H32" t="s">
        <v>69</v>
      </c>
      <c r="I32" t="s">
        <v>33</v>
      </c>
      <c r="J32" t="s">
        <v>34</v>
      </c>
      <c r="K32" t="s">
        <v>70</v>
      </c>
      <c r="L32" s="3" t="s">
        <v>40</v>
      </c>
      <c r="M32" s="24">
        <v>11</v>
      </c>
      <c r="N32" s="19">
        <v>23</v>
      </c>
      <c r="O32" s="10">
        <v>11</v>
      </c>
      <c r="P32" s="10">
        <v>11</v>
      </c>
      <c r="Q32" s="10">
        <v>11</v>
      </c>
      <c r="R32" s="10">
        <v>11</v>
      </c>
      <c r="S32" s="16">
        <v>4</v>
      </c>
      <c r="T32" s="7">
        <v>16</v>
      </c>
      <c r="U32" s="6">
        <v>11</v>
      </c>
      <c r="V32" s="6">
        <v>6</v>
      </c>
      <c r="W32" s="16">
        <v>11</v>
      </c>
      <c r="X32" s="10">
        <v>11</v>
      </c>
      <c r="Y32" s="16">
        <v>11</v>
      </c>
      <c r="Z32" s="10">
        <v>11</v>
      </c>
    </row>
    <row r="33" spans="1:26" x14ac:dyDescent="0.25">
      <c r="A33" t="s">
        <v>84</v>
      </c>
      <c r="B33" t="s">
        <v>66</v>
      </c>
      <c r="C33" t="s">
        <v>95</v>
      </c>
      <c r="D33" t="s">
        <v>47</v>
      </c>
      <c r="E33" t="s">
        <v>95</v>
      </c>
      <c r="F33" t="s">
        <v>42</v>
      </c>
      <c r="G33" t="s">
        <v>68</v>
      </c>
      <c r="H33" t="s">
        <v>69</v>
      </c>
      <c r="I33" t="s">
        <v>33</v>
      </c>
      <c r="J33" t="s">
        <v>34</v>
      </c>
      <c r="K33" t="s">
        <v>70</v>
      </c>
      <c r="L33" s="3" t="s">
        <v>40</v>
      </c>
      <c r="M33" s="24">
        <v>11</v>
      </c>
      <c r="N33" s="19">
        <v>25</v>
      </c>
      <c r="O33" s="10">
        <v>14</v>
      </c>
      <c r="P33" s="10">
        <v>13</v>
      </c>
      <c r="Q33" s="10">
        <v>14</v>
      </c>
      <c r="R33" s="10">
        <v>14</v>
      </c>
      <c r="S33" s="16">
        <v>9</v>
      </c>
      <c r="T33" s="19">
        <v>19</v>
      </c>
      <c r="U33" s="6">
        <v>14</v>
      </c>
      <c r="V33" s="6">
        <v>10</v>
      </c>
      <c r="W33" s="16">
        <v>14</v>
      </c>
      <c r="X33" s="10">
        <v>13</v>
      </c>
      <c r="Y33" s="16">
        <v>14</v>
      </c>
      <c r="Z33" s="10">
        <v>14</v>
      </c>
    </row>
    <row r="34" spans="1:26" x14ac:dyDescent="0.25">
      <c r="A34" t="s">
        <v>84</v>
      </c>
      <c r="B34" t="s">
        <v>76</v>
      </c>
      <c r="C34" t="s">
        <v>96</v>
      </c>
      <c r="D34" t="s">
        <v>29</v>
      </c>
      <c r="E34" t="s">
        <v>96</v>
      </c>
      <c r="F34" t="s">
        <v>30</v>
      </c>
      <c r="G34" t="s">
        <v>54</v>
      </c>
      <c r="H34" t="s">
        <v>69</v>
      </c>
      <c r="I34" t="s">
        <v>33</v>
      </c>
      <c r="J34" t="s">
        <v>34</v>
      </c>
      <c r="K34" t="s">
        <v>61</v>
      </c>
      <c r="L34" s="3" t="s">
        <v>46</v>
      </c>
      <c r="M34" s="24">
        <v>2</v>
      </c>
      <c r="N34" s="7">
        <v>6</v>
      </c>
      <c r="O34" s="10">
        <v>3</v>
      </c>
      <c r="P34" s="10"/>
      <c r="Q34" s="10">
        <v>2</v>
      </c>
      <c r="R34" s="10">
        <v>8</v>
      </c>
      <c r="S34" s="16">
        <v>7</v>
      </c>
      <c r="T34" s="7">
        <v>3</v>
      </c>
      <c r="U34" s="6">
        <v>8</v>
      </c>
      <c r="V34" s="6">
        <v>1</v>
      </c>
      <c r="W34" s="16">
        <v>3</v>
      </c>
      <c r="X34" s="10">
        <v>2</v>
      </c>
      <c r="Y34" s="16">
        <v>3</v>
      </c>
      <c r="Z34" s="10">
        <v>8</v>
      </c>
    </row>
    <row r="35" spans="1:26" x14ac:dyDescent="0.25">
      <c r="A35" t="s">
        <v>84</v>
      </c>
      <c r="B35" t="s">
        <v>76</v>
      </c>
      <c r="C35" t="s">
        <v>96</v>
      </c>
      <c r="D35" t="s">
        <v>47</v>
      </c>
      <c r="E35" t="s">
        <v>96</v>
      </c>
      <c r="F35" t="s">
        <v>42</v>
      </c>
      <c r="G35" t="s">
        <v>78</v>
      </c>
      <c r="H35" t="s">
        <v>79</v>
      </c>
      <c r="I35" t="s">
        <v>33</v>
      </c>
      <c r="J35" t="s">
        <v>34</v>
      </c>
      <c r="K35" t="s">
        <v>70</v>
      </c>
      <c r="L35" s="3" t="s">
        <v>46</v>
      </c>
      <c r="M35" s="24">
        <v>7</v>
      </c>
      <c r="N35" s="19">
        <v>29</v>
      </c>
      <c r="O35" s="10">
        <v>9</v>
      </c>
      <c r="P35" s="10"/>
      <c r="Q35" s="10"/>
      <c r="R35" s="10">
        <v>0</v>
      </c>
      <c r="S35" s="16"/>
      <c r="T35" s="7"/>
      <c r="U35" s="6"/>
      <c r="V35" s="6"/>
      <c r="W35" s="16">
        <v>9</v>
      </c>
      <c r="X35" s="10">
        <v>9</v>
      </c>
      <c r="Y35" s="16">
        <v>9</v>
      </c>
      <c r="Z35" s="10"/>
    </row>
    <row r="36" spans="1:26" x14ac:dyDescent="0.25">
      <c r="A36" t="s">
        <v>84</v>
      </c>
      <c r="B36" t="s">
        <v>76</v>
      </c>
      <c r="C36" t="s">
        <v>96</v>
      </c>
      <c r="D36" t="s">
        <v>47</v>
      </c>
      <c r="E36" t="s">
        <v>96</v>
      </c>
      <c r="F36" t="s">
        <v>42</v>
      </c>
      <c r="G36" t="s">
        <v>37</v>
      </c>
      <c r="H36" t="s">
        <v>38</v>
      </c>
      <c r="I36" t="s">
        <v>33</v>
      </c>
      <c r="J36" t="s">
        <v>34</v>
      </c>
      <c r="K36" t="s">
        <v>80</v>
      </c>
      <c r="L36" s="3" t="s">
        <v>40</v>
      </c>
      <c r="M36" s="25"/>
      <c r="N36" s="7"/>
      <c r="O36" s="10"/>
      <c r="P36" s="10"/>
      <c r="Q36" s="10"/>
      <c r="R36" s="10"/>
      <c r="S36" s="16"/>
      <c r="T36" s="7"/>
      <c r="U36" s="6"/>
      <c r="V36" s="6"/>
      <c r="W36" s="16"/>
      <c r="Y36" s="16"/>
      <c r="Z36" s="10"/>
    </row>
    <row r="37" spans="1:26" ht="45" x14ac:dyDescent="0.25">
      <c r="A37" t="s">
        <v>84</v>
      </c>
      <c r="B37" t="s">
        <v>76</v>
      </c>
      <c r="C37" t="s">
        <v>96</v>
      </c>
      <c r="D37" t="s">
        <v>49</v>
      </c>
      <c r="E37" t="s">
        <v>96</v>
      </c>
      <c r="F37" t="s">
        <v>64</v>
      </c>
      <c r="G37" t="s">
        <v>97</v>
      </c>
      <c r="H37" t="s">
        <v>98</v>
      </c>
      <c r="I37" t="s">
        <v>33</v>
      </c>
      <c r="J37" t="s">
        <v>34</v>
      </c>
      <c r="K37" t="s">
        <v>99</v>
      </c>
      <c r="L37" s="3" t="s">
        <v>100</v>
      </c>
      <c r="M37" s="24">
        <v>97</v>
      </c>
      <c r="N37" s="7">
        <v>81</v>
      </c>
      <c r="O37" s="10">
        <v>90</v>
      </c>
      <c r="P37" s="10">
        <v>83</v>
      </c>
      <c r="Q37" s="10">
        <v>90</v>
      </c>
      <c r="R37" s="10">
        <v>85</v>
      </c>
      <c r="S37" s="17">
        <v>72</v>
      </c>
      <c r="T37" s="10">
        <v>89</v>
      </c>
      <c r="U37" s="15"/>
      <c r="V37" s="10">
        <v>88</v>
      </c>
      <c r="W37" s="21">
        <v>89</v>
      </c>
      <c r="X37" s="10">
        <v>90</v>
      </c>
      <c r="Y37" s="16">
        <v>86</v>
      </c>
      <c r="Z37" s="10">
        <v>84</v>
      </c>
    </row>
    <row r="38" spans="1:26" ht="15.75" thickBot="1" x14ac:dyDescent="0.3">
      <c r="A38" t="s">
        <v>84</v>
      </c>
      <c r="B38" t="s">
        <v>76</v>
      </c>
      <c r="C38" t="s">
        <v>96</v>
      </c>
      <c r="D38" t="s">
        <v>49</v>
      </c>
      <c r="E38" t="s">
        <v>96</v>
      </c>
      <c r="F38" t="s">
        <v>64</v>
      </c>
      <c r="G38" t="s">
        <v>78</v>
      </c>
      <c r="H38" t="s">
        <v>81</v>
      </c>
      <c r="I38" t="s">
        <v>33</v>
      </c>
      <c r="J38" t="s">
        <v>34</v>
      </c>
      <c r="K38" t="s">
        <v>70</v>
      </c>
      <c r="L38" s="3" t="s">
        <v>46</v>
      </c>
      <c r="M38" s="27">
        <v>6</v>
      </c>
      <c r="N38" s="7">
        <v>13</v>
      </c>
      <c r="O38" s="10">
        <v>18</v>
      </c>
      <c r="P38" s="10"/>
      <c r="Q38" s="10"/>
      <c r="R38" s="10">
        <v>0</v>
      </c>
      <c r="S38" s="16"/>
      <c r="T38" s="7"/>
      <c r="U38" s="6"/>
      <c r="V38" s="6"/>
      <c r="W38" s="16"/>
      <c r="X38" s="10">
        <v>8</v>
      </c>
      <c r="Y38" s="16"/>
      <c r="Z38" s="10"/>
    </row>
    <row r="39" spans="1:26" x14ac:dyDescent="0.25">
      <c r="A39" t="s">
        <v>84</v>
      </c>
      <c r="B39" t="s">
        <v>76</v>
      </c>
      <c r="C39" t="s">
        <v>96</v>
      </c>
      <c r="D39" t="s">
        <v>49</v>
      </c>
      <c r="E39" t="s">
        <v>96</v>
      </c>
      <c r="F39" t="s">
        <v>64</v>
      </c>
      <c r="G39" t="s">
        <v>82</v>
      </c>
      <c r="H39" t="s">
        <v>83</v>
      </c>
      <c r="I39" t="s">
        <v>33</v>
      </c>
      <c r="J39" t="s">
        <v>34</v>
      </c>
      <c r="K39" t="s">
        <v>39</v>
      </c>
      <c r="L39" s="3" t="s">
        <v>40</v>
      </c>
      <c r="M39" s="28"/>
      <c r="N39" s="7"/>
      <c r="O39" s="10"/>
      <c r="P39" s="10"/>
      <c r="Q39" s="10">
        <v>0</v>
      </c>
      <c r="R39" s="10"/>
      <c r="S39" s="16"/>
      <c r="T39" s="7"/>
      <c r="U39" s="6"/>
      <c r="V39" s="6"/>
      <c r="W39" s="16"/>
      <c r="Y39" s="16"/>
      <c r="Z39" s="10"/>
    </row>
    <row r="40" spans="1:26" ht="45" x14ac:dyDescent="0.25">
      <c r="L40" s="4" t="s">
        <v>101</v>
      </c>
      <c r="M40" s="13"/>
      <c r="N40" s="29"/>
      <c r="O40" s="10"/>
      <c r="P40" s="10"/>
      <c r="Q40" s="10"/>
      <c r="R40" s="10"/>
      <c r="S40" s="10"/>
      <c r="T40" s="10"/>
      <c r="U40" s="10"/>
      <c r="V40" s="10"/>
      <c r="W40" s="16"/>
      <c r="Y40" s="16"/>
      <c r="Z40" s="10"/>
    </row>
    <row r="41" spans="1:26" x14ac:dyDescent="0.25">
      <c r="P41" s="8" t="s">
        <v>102</v>
      </c>
    </row>
  </sheetData>
  <autoFilter ref="A1:M39" xr:uid="{00000000-0001-0000-0000-000000000000}"/>
  <conditionalFormatting sqref="W2:W39">
    <cfRule type="containsText" dxfId="0" priority="1" operator="containsText" text="/">
      <formula>NOT(ISERROR(SEARCH("/",W2)))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37982-F545-5A45-AE08-F9435497E12A}">
  <dimension ref="A1:AN29"/>
  <sheetViews>
    <sheetView zoomScale="55" zoomScaleNormal="55" workbookViewId="0">
      <pane ySplit="1" topLeftCell="A2" activePane="bottomLeft" state="frozen"/>
      <selection activeCell="B2" sqref="B2"/>
      <selection pane="bottomLeft" activeCell="M3" sqref="M3"/>
    </sheetView>
  </sheetViews>
  <sheetFormatPr defaultColWidth="11.42578125" defaultRowHeight="15" x14ac:dyDescent="0.25"/>
  <cols>
    <col min="1" max="1" width="9.7109375" style="44" bestFit="1" customWidth="1"/>
    <col min="2" max="2" width="15.140625" style="44" bestFit="1" customWidth="1"/>
    <col min="3" max="3" width="18.5703125" style="44" bestFit="1" customWidth="1"/>
    <col min="4" max="4" width="18.85546875" style="44" bestFit="1" customWidth="1"/>
    <col min="5" max="5" width="18.42578125" style="44" bestFit="1" customWidth="1"/>
    <col min="6" max="6" width="18.85546875" style="44" bestFit="1" customWidth="1"/>
    <col min="7" max="7" width="30.42578125" style="52" bestFit="1" customWidth="1"/>
    <col min="8" max="8" width="31.5703125" style="52" customWidth="1"/>
    <col min="9" max="9" width="30.42578125" style="44" bestFit="1" customWidth="1"/>
    <col min="10" max="10" width="26.5703125" style="44" customWidth="1"/>
    <col min="11" max="11" width="18.42578125" style="52" bestFit="1" customWidth="1"/>
    <col min="12" max="12" width="20.42578125" style="44" customWidth="1"/>
    <col min="13" max="13" width="14.28515625" style="44" customWidth="1"/>
    <col min="14" max="14" width="15.28515625" style="44" customWidth="1"/>
    <col min="15" max="26" width="11.42578125" style="44"/>
    <col min="27" max="27" width="16.7109375" style="44" bestFit="1" customWidth="1"/>
    <col min="28" max="39" width="13.7109375" style="44" bestFit="1" customWidth="1"/>
    <col min="40" max="40" width="22.85546875" style="44" customWidth="1"/>
    <col min="41" max="16384" width="11.42578125" style="44"/>
  </cols>
  <sheetData>
    <row r="1" spans="1:39" ht="17.25" customHeight="1" x14ac:dyDescent="0.25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3" t="s">
        <v>6</v>
      </c>
      <c r="H1" s="43" t="s">
        <v>7</v>
      </c>
      <c r="I1" s="42" t="s">
        <v>8</v>
      </c>
      <c r="J1" s="43" t="s">
        <v>9</v>
      </c>
      <c r="K1" s="43" t="s">
        <v>10</v>
      </c>
      <c r="L1" s="43" t="s">
        <v>11</v>
      </c>
      <c r="M1" s="57" t="s">
        <v>103</v>
      </c>
      <c r="N1" s="53" t="s">
        <v>13</v>
      </c>
      <c r="O1" s="53" t="s">
        <v>14</v>
      </c>
      <c r="P1" s="53" t="s">
        <v>15</v>
      </c>
      <c r="Q1" s="53" t="s">
        <v>16</v>
      </c>
      <c r="R1" s="53" t="s">
        <v>17</v>
      </c>
      <c r="S1" s="53" t="s">
        <v>18</v>
      </c>
      <c r="T1" s="53" t="s">
        <v>19</v>
      </c>
      <c r="U1" s="53" t="s">
        <v>20</v>
      </c>
      <c r="V1" s="53" t="s">
        <v>21</v>
      </c>
      <c r="W1" s="54" t="s">
        <v>22</v>
      </c>
      <c r="X1" s="55" t="s">
        <v>23</v>
      </c>
      <c r="Y1" s="56" t="s">
        <v>24</v>
      </c>
      <c r="Z1" s="58" t="s">
        <v>25</v>
      </c>
      <c r="AA1" s="61" t="s">
        <v>13</v>
      </c>
      <c r="AB1" s="62" t="s">
        <v>14</v>
      </c>
      <c r="AC1" s="62" t="s">
        <v>15</v>
      </c>
      <c r="AD1" s="62" t="s">
        <v>16</v>
      </c>
      <c r="AE1" s="62" t="s">
        <v>17</v>
      </c>
      <c r="AF1" s="62" t="s">
        <v>18</v>
      </c>
      <c r="AG1" s="62" t="s">
        <v>19</v>
      </c>
      <c r="AH1" s="62" t="s">
        <v>20</v>
      </c>
      <c r="AI1" s="62" t="s">
        <v>21</v>
      </c>
      <c r="AJ1" s="62" t="s">
        <v>22</v>
      </c>
      <c r="AK1" s="62" t="s">
        <v>23</v>
      </c>
      <c r="AL1" s="62" t="s">
        <v>24</v>
      </c>
      <c r="AM1" s="63" t="s">
        <v>25</v>
      </c>
    </row>
    <row r="2" spans="1:39" ht="63" x14ac:dyDescent="0.25">
      <c r="A2" s="45" t="s">
        <v>26</v>
      </c>
      <c r="B2" s="46" t="s">
        <v>27</v>
      </c>
      <c r="C2" s="46" t="s">
        <v>28</v>
      </c>
      <c r="D2" s="46">
        <v>0.34375</v>
      </c>
      <c r="E2" s="46" t="s">
        <v>28</v>
      </c>
      <c r="F2" s="46">
        <v>0.42708333333333331</v>
      </c>
      <c r="G2" s="47" t="s">
        <v>31</v>
      </c>
      <c r="H2" s="47" t="s">
        <v>32</v>
      </c>
      <c r="I2" s="46" t="s">
        <v>33</v>
      </c>
      <c r="J2" s="46" t="s">
        <v>34</v>
      </c>
      <c r="K2" s="47" t="s">
        <v>35</v>
      </c>
      <c r="L2" s="47" t="s">
        <v>36</v>
      </c>
      <c r="M2" s="31">
        <v>6</v>
      </c>
      <c r="N2" s="37">
        <v>13</v>
      </c>
      <c r="O2" s="32">
        <v>5</v>
      </c>
      <c r="P2" s="32">
        <v>5</v>
      </c>
      <c r="Q2" s="32">
        <v>5</v>
      </c>
      <c r="R2" s="32">
        <v>5</v>
      </c>
      <c r="S2" s="33">
        <v>5</v>
      </c>
      <c r="T2" s="34">
        <v>5</v>
      </c>
      <c r="U2" s="48">
        <v>5</v>
      </c>
      <c r="V2" s="48">
        <v>5</v>
      </c>
      <c r="W2" s="33">
        <v>5</v>
      </c>
      <c r="X2" s="34">
        <v>5</v>
      </c>
      <c r="Y2" s="33">
        <v>5</v>
      </c>
      <c r="Z2" s="59">
        <v>5</v>
      </c>
      <c r="AA2" s="64">
        <f>IF(ISBLANK(N2), 0,(ABS(N2-$M2)/$M2))</f>
        <v>1.1666666666666667</v>
      </c>
      <c r="AB2" s="41">
        <f t="shared" ref="AB2:AM2" si="0">IF(ISBLANK(O2), 0,(ABS(O2-$M2)/$M2))</f>
        <v>0.16666666666666666</v>
      </c>
      <c r="AC2" s="41">
        <f t="shared" si="0"/>
        <v>0.16666666666666666</v>
      </c>
      <c r="AD2" s="41">
        <f t="shared" si="0"/>
        <v>0.16666666666666666</v>
      </c>
      <c r="AE2" s="41">
        <f t="shared" si="0"/>
        <v>0.16666666666666666</v>
      </c>
      <c r="AF2" s="41">
        <f t="shared" si="0"/>
        <v>0.16666666666666666</v>
      </c>
      <c r="AG2" s="41">
        <f t="shared" si="0"/>
        <v>0.16666666666666666</v>
      </c>
      <c r="AH2" s="41">
        <f t="shared" si="0"/>
        <v>0.16666666666666666</v>
      </c>
      <c r="AI2" s="41">
        <f t="shared" si="0"/>
        <v>0.16666666666666666</v>
      </c>
      <c r="AJ2" s="41">
        <f t="shared" si="0"/>
        <v>0.16666666666666666</v>
      </c>
      <c r="AK2" s="41">
        <f t="shared" si="0"/>
        <v>0.16666666666666666</v>
      </c>
      <c r="AL2" s="41">
        <f t="shared" si="0"/>
        <v>0.16666666666666666</v>
      </c>
      <c r="AM2" s="65">
        <f t="shared" si="0"/>
        <v>0.16666666666666666</v>
      </c>
    </row>
    <row r="3" spans="1:39" ht="42" x14ac:dyDescent="0.25">
      <c r="A3" s="45" t="s">
        <v>26</v>
      </c>
      <c r="B3" s="46" t="s">
        <v>27</v>
      </c>
      <c r="C3" s="46" t="s">
        <v>28</v>
      </c>
      <c r="D3" s="46">
        <v>0.38541666666666702</v>
      </c>
      <c r="E3" s="46" t="s">
        <v>28</v>
      </c>
      <c r="F3" s="46">
        <v>0.52083333333333337</v>
      </c>
      <c r="G3" s="47" t="s">
        <v>43</v>
      </c>
      <c r="H3" s="47" t="s">
        <v>44</v>
      </c>
      <c r="I3" s="46" t="s">
        <v>33</v>
      </c>
      <c r="J3" s="46" t="s">
        <v>34</v>
      </c>
      <c r="K3" s="47" t="s">
        <v>45</v>
      </c>
      <c r="L3" s="47" t="s">
        <v>46</v>
      </c>
      <c r="M3" s="31">
        <v>11</v>
      </c>
      <c r="N3" s="34">
        <v>14</v>
      </c>
      <c r="O3" s="32">
        <v>11</v>
      </c>
      <c r="P3" s="32"/>
      <c r="Q3" s="32"/>
      <c r="R3" s="32">
        <v>0</v>
      </c>
      <c r="S3" s="33">
        <v>3</v>
      </c>
      <c r="T3" s="34"/>
      <c r="U3" s="48">
        <v>7</v>
      </c>
      <c r="V3" s="48"/>
      <c r="W3" s="33">
        <v>11</v>
      </c>
      <c r="X3" s="34">
        <v>10</v>
      </c>
      <c r="Y3" s="33"/>
      <c r="Z3" s="59">
        <v>7</v>
      </c>
      <c r="AA3" s="64">
        <f t="shared" ref="AA3:AA28" si="1">IF(ISBLANK(N3), 0,(ABS(N3-$M3)/$M3))</f>
        <v>0.27272727272727271</v>
      </c>
      <c r="AB3" s="41">
        <f t="shared" ref="AB3:AB28" si="2">IF(ISBLANK(O3), 0,(ABS(O3-$M3)/$M3))</f>
        <v>0</v>
      </c>
      <c r="AC3" s="41">
        <f t="shared" ref="AC3:AC28" si="3">IF(ISBLANK(P3), 0,(ABS(P3-$M3)/$M3))</f>
        <v>0</v>
      </c>
      <c r="AD3" s="41">
        <f t="shared" ref="AD3:AD28" si="4">IF(ISBLANK(Q3), 0,(ABS(Q3-$M3)/$M3))</f>
        <v>0</v>
      </c>
      <c r="AE3" s="41">
        <f t="shared" ref="AE3:AE28" si="5">IF(ISBLANK(R3), 0,(ABS(R3-$M3)/$M3))</f>
        <v>1</v>
      </c>
      <c r="AF3" s="41">
        <f t="shared" ref="AF3:AF28" si="6">IF(ISBLANK(S3), 0,(ABS(S3-$M3)/$M3))</f>
        <v>0.72727272727272729</v>
      </c>
      <c r="AG3" s="41">
        <f t="shared" ref="AG3:AG28" si="7">IF(ISBLANK(T3), 0,(ABS(T3-$M3)/$M3))</f>
        <v>0</v>
      </c>
      <c r="AH3" s="41">
        <f t="shared" ref="AH3:AH28" si="8">IF(ISBLANK(U3), 0,(ABS(U3-$M3)/$M3))</f>
        <v>0.36363636363636365</v>
      </c>
      <c r="AI3" s="41">
        <f t="shared" ref="AI3:AI28" si="9">IF(ISBLANK(V3), 0,(ABS(V3-$M3)/$M3))</f>
        <v>0</v>
      </c>
      <c r="AJ3" s="41">
        <f t="shared" ref="AJ3:AJ28" si="10">IF(ISBLANK(W3), 0,(ABS(W3-$M3)/$M3))</f>
        <v>0</v>
      </c>
      <c r="AK3" s="41">
        <f t="shared" ref="AK3:AK28" si="11">IF(ISBLANK(X3), 0,(ABS(X3-$M3)/$M3))</f>
        <v>9.0909090909090912E-2</v>
      </c>
      <c r="AL3" s="41">
        <f t="shared" ref="AL3:AL28" si="12">IF(ISBLANK(Y3), 0,(ABS(Y3-$M3)/$M3))</f>
        <v>0</v>
      </c>
      <c r="AM3" s="65">
        <f t="shared" ref="AM3:AM28" si="13">IF(ISBLANK(Z3), 0,(ABS(Z3-$M3)/$M3))</f>
        <v>0.36363636363636365</v>
      </c>
    </row>
    <row r="4" spans="1:39" ht="63" x14ac:dyDescent="0.25">
      <c r="A4" s="45" t="s">
        <v>26</v>
      </c>
      <c r="B4" s="46" t="s">
        <v>27</v>
      </c>
      <c r="C4" s="46" t="s">
        <v>28</v>
      </c>
      <c r="D4" s="46">
        <v>0.4375</v>
      </c>
      <c r="E4" s="46" t="s">
        <v>28</v>
      </c>
      <c r="F4" s="46">
        <v>0.52083333333333337</v>
      </c>
      <c r="G4" s="47" t="s">
        <v>31</v>
      </c>
      <c r="H4" s="47" t="s">
        <v>48</v>
      </c>
      <c r="I4" s="46" t="s">
        <v>33</v>
      </c>
      <c r="J4" s="46" t="s">
        <v>34</v>
      </c>
      <c r="K4" s="47" t="s">
        <v>35</v>
      </c>
      <c r="L4" s="47" t="s">
        <v>36</v>
      </c>
      <c r="M4" s="31">
        <v>10</v>
      </c>
      <c r="N4" s="37">
        <v>19</v>
      </c>
      <c r="O4" s="35">
        <v>16</v>
      </c>
      <c r="P4" s="32">
        <v>8</v>
      </c>
      <c r="Q4" s="35">
        <v>16</v>
      </c>
      <c r="R4" s="35">
        <v>15</v>
      </c>
      <c r="S4" s="33">
        <v>9</v>
      </c>
      <c r="T4" s="37">
        <v>16</v>
      </c>
      <c r="U4" s="49">
        <v>15</v>
      </c>
      <c r="V4" s="49">
        <v>15</v>
      </c>
      <c r="W4" s="36">
        <v>16</v>
      </c>
      <c r="X4" s="37">
        <v>16</v>
      </c>
      <c r="Y4" s="36">
        <v>16</v>
      </c>
      <c r="Z4" s="60">
        <v>15</v>
      </c>
      <c r="AA4" s="64">
        <f t="shared" si="1"/>
        <v>0.9</v>
      </c>
      <c r="AB4" s="41">
        <f t="shared" si="2"/>
        <v>0.6</v>
      </c>
      <c r="AC4" s="41">
        <f t="shared" si="3"/>
        <v>0.2</v>
      </c>
      <c r="AD4" s="41">
        <f t="shared" si="4"/>
        <v>0.6</v>
      </c>
      <c r="AE4" s="41">
        <f t="shared" si="5"/>
        <v>0.5</v>
      </c>
      <c r="AF4" s="41">
        <f t="shared" si="6"/>
        <v>0.1</v>
      </c>
      <c r="AG4" s="41">
        <f t="shared" si="7"/>
        <v>0.6</v>
      </c>
      <c r="AH4" s="41">
        <f t="shared" si="8"/>
        <v>0.5</v>
      </c>
      <c r="AI4" s="41">
        <f t="shared" si="9"/>
        <v>0.5</v>
      </c>
      <c r="AJ4" s="41">
        <f t="shared" si="10"/>
        <v>0.6</v>
      </c>
      <c r="AK4" s="41">
        <f t="shared" si="11"/>
        <v>0.6</v>
      </c>
      <c r="AL4" s="41">
        <f t="shared" si="12"/>
        <v>0.6</v>
      </c>
      <c r="AM4" s="65">
        <f t="shared" si="13"/>
        <v>0.5</v>
      </c>
    </row>
    <row r="5" spans="1:39" ht="42" x14ac:dyDescent="0.25">
      <c r="A5" s="45" t="s">
        <v>26</v>
      </c>
      <c r="B5" s="46" t="s">
        <v>27</v>
      </c>
      <c r="C5" s="46" t="s">
        <v>28</v>
      </c>
      <c r="D5" s="46">
        <v>0.5625</v>
      </c>
      <c r="E5" s="46" t="s">
        <v>28</v>
      </c>
      <c r="F5" s="46">
        <v>0.69791666666666663</v>
      </c>
      <c r="G5" s="47" t="s">
        <v>43</v>
      </c>
      <c r="H5" s="47" t="s">
        <v>51</v>
      </c>
      <c r="I5" s="46" t="s">
        <v>33</v>
      </c>
      <c r="J5" s="46" t="s">
        <v>34</v>
      </c>
      <c r="K5" s="47" t="s">
        <v>45</v>
      </c>
      <c r="L5" s="47" t="s">
        <v>46</v>
      </c>
      <c r="M5" s="31">
        <v>11</v>
      </c>
      <c r="N5" s="34">
        <v>15</v>
      </c>
      <c r="O5" s="32">
        <v>12</v>
      </c>
      <c r="P5" s="32"/>
      <c r="Q5" s="32"/>
      <c r="R5" s="32">
        <v>0</v>
      </c>
      <c r="S5" s="33"/>
      <c r="T5" s="34"/>
      <c r="U5" s="48"/>
      <c r="V5" s="48"/>
      <c r="W5" s="33">
        <v>11</v>
      </c>
      <c r="X5" s="34">
        <v>12</v>
      </c>
      <c r="Y5" s="33"/>
      <c r="Z5" s="59"/>
      <c r="AA5" s="64">
        <f t="shared" si="1"/>
        <v>0.36363636363636365</v>
      </c>
      <c r="AB5" s="41">
        <f t="shared" si="2"/>
        <v>9.0909090909090912E-2</v>
      </c>
      <c r="AC5" s="41">
        <f t="shared" si="3"/>
        <v>0</v>
      </c>
      <c r="AD5" s="41">
        <f t="shared" si="4"/>
        <v>0</v>
      </c>
      <c r="AE5" s="41">
        <f t="shared" si="5"/>
        <v>1</v>
      </c>
      <c r="AF5" s="41">
        <f t="shared" si="6"/>
        <v>0</v>
      </c>
      <c r="AG5" s="41">
        <f t="shared" si="7"/>
        <v>0</v>
      </c>
      <c r="AH5" s="41">
        <f t="shared" si="8"/>
        <v>0</v>
      </c>
      <c r="AI5" s="41">
        <f t="shared" si="9"/>
        <v>0</v>
      </c>
      <c r="AJ5" s="41">
        <f t="shared" si="10"/>
        <v>0</v>
      </c>
      <c r="AK5" s="41">
        <f t="shared" si="11"/>
        <v>9.0909090909090912E-2</v>
      </c>
      <c r="AL5" s="41">
        <f t="shared" si="12"/>
        <v>0</v>
      </c>
      <c r="AM5" s="65">
        <f t="shared" si="13"/>
        <v>0</v>
      </c>
    </row>
    <row r="6" spans="1:39" ht="42" x14ac:dyDescent="0.25">
      <c r="A6" s="45" t="s">
        <v>26</v>
      </c>
      <c r="B6" s="46" t="s">
        <v>52</v>
      </c>
      <c r="C6" s="46" t="s">
        <v>53</v>
      </c>
      <c r="D6" s="46">
        <v>0.34375</v>
      </c>
      <c r="E6" s="46" t="s">
        <v>53</v>
      </c>
      <c r="F6" s="46">
        <v>0.42708333333333331</v>
      </c>
      <c r="G6" s="47" t="s">
        <v>54</v>
      </c>
      <c r="H6" s="47" t="s">
        <v>55</v>
      </c>
      <c r="I6" s="46" t="s">
        <v>33</v>
      </c>
      <c r="J6" s="46" t="s">
        <v>34</v>
      </c>
      <c r="K6" s="47" t="s">
        <v>56</v>
      </c>
      <c r="L6" s="47" t="s">
        <v>40</v>
      </c>
      <c r="M6" s="31">
        <v>7</v>
      </c>
      <c r="N6" s="34">
        <v>7</v>
      </c>
      <c r="O6" s="32">
        <v>7</v>
      </c>
      <c r="P6" s="32">
        <v>6</v>
      </c>
      <c r="Q6" s="32">
        <v>7</v>
      </c>
      <c r="R6" s="32">
        <v>6</v>
      </c>
      <c r="S6" s="33">
        <v>4</v>
      </c>
      <c r="T6" s="34">
        <v>7</v>
      </c>
      <c r="U6" s="48">
        <v>6</v>
      </c>
      <c r="V6" s="48">
        <v>7</v>
      </c>
      <c r="W6" s="33">
        <v>7</v>
      </c>
      <c r="X6" s="34">
        <v>7</v>
      </c>
      <c r="Y6" s="33">
        <v>7</v>
      </c>
      <c r="Z6" s="59">
        <v>3</v>
      </c>
      <c r="AA6" s="64">
        <f t="shared" si="1"/>
        <v>0</v>
      </c>
      <c r="AB6" s="41">
        <f t="shared" si="2"/>
        <v>0</v>
      </c>
      <c r="AC6" s="41">
        <f t="shared" si="3"/>
        <v>0.14285714285714285</v>
      </c>
      <c r="AD6" s="41">
        <f t="shared" si="4"/>
        <v>0</v>
      </c>
      <c r="AE6" s="41">
        <f t="shared" si="5"/>
        <v>0.14285714285714285</v>
      </c>
      <c r="AF6" s="41">
        <f t="shared" si="6"/>
        <v>0.42857142857142855</v>
      </c>
      <c r="AG6" s="41">
        <f t="shared" si="7"/>
        <v>0</v>
      </c>
      <c r="AH6" s="41">
        <f t="shared" si="8"/>
        <v>0.14285714285714285</v>
      </c>
      <c r="AI6" s="41">
        <f t="shared" si="9"/>
        <v>0</v>
      </c>
      <c r="AJ6" s="41">
        <f t="shared" si="10"/>
        <v>0</v>
      </c>
      <c r="AK6" s="41">
        <f t="shared" si="11"/>
        <v>0</v>
      </c>
      <c r="AL6" s="41">
        <f t="shared" si="12"/>
        <v>0</v>
      </c>
      <c r="AM6" s="65">
        <f t="shared" si="13"/>
        <v>0.5714285714285714</v>
      </c>
    </row>
    <row r="7" spans="1:39" ht="63" x14ac:dyDescent="0.25">
      <c r="A7" s="45" t="s">
        <v>26</v>
      </c>
      <c r="B7" s="46" t="s">
        <v>52</v>
      </c>
      <c r="C7" s="46" t="s">
        <v>53</v>
      </c>
      <c r="D7" s="46">
        <v>0.34375</v>
      </c>
      <c r="E7" s="46" t="s">
        <v>53</v>
      </c>
      <c r="F7" s="46">
        <v>0.42708333333333331</v>
      </c>
      <c r="G7" s="47" t="s">
        <v>31</v>
      </c>
      <c r="H7" s="47" t="s">
        <v>32</v>
      </c>
      <c r="I7" s="46" t="s">
        <v>33</v>
      </c>
      <c r="J7" s="46" t="s">
        <v>34</v>
      </c>
      <c r="K7" s="47" t="s">
        <v>57</v>
      </c>
      <c r="L7" s="47" t="s">
        <v>36</v>
      </c>
      <c r="M7" s="31">
        <v>9</v>
      </c>
      <c r="N7" s="37">
        <v>16</v>
      </c>
      <c r="O7" s="32">
        <v>9</v>
      </c>
      <c r="P7" s="32">
        <v>8</v>
      </c>
      <c r="Q7" s="32">
        <v>8</v>
      </c>
      <c r="R7" s="35">
        <v>16</v>
      </c>
      <c r="S7" s="36">
        <v>16</v>
      </c>
      <c r="T7" s="34">
        <v>9</v>
      </c>
      <c r="U7" s="49">
        <v>16</v>
      </c>
      <c r="V7" s="48">
        <v>8</v>
      </c>
      <c r="W7" s="33">
        <v>9</v>
      </c>
      <c r="X7" s="34">
        <v>8</v>
      </c>
      <c r="Y7" s="33">
        <v>9</v>
      </c>
      <c r="Z7" s="59">
        <v>16</v>
      </c>
      <c r="AA7" s="64">
        <f t="shared" si="1"/>
        <v>0.77777777777777779</v>
      </c>
      <c r="AB7" s="41">
        <f t="shared" si="2"/>
        <v>0</v>
      </c>
      <c r="AC7" s="41">
        <f t="shared" si="3"/>
        <v>0.1111111111111111</v>
      </c>
      <c r="AD7" s="41">
        <f t="shared" si="4"/>
        <v>0.1111111111111111</v>
      </c>
      <c r="AE7" s="41">
        <f t="shared" si="5"/>
        <v>0.77777777777777779</v>
      </c>
      <c r="AF7" s="41">
        <f t="shared" si="6"/>
        <v>0.77777777777777779</v>
      </c>
      <c r="AG7" s="41">
        <f t="shared" si="7"/>
        <v>0</v>
      </c>
      <c r="AH7" s="41">
        <f t="shared" si="8"/>
        <v>0.77777777777777779</v>
      </c>
      <c r="AI7" s="41">
        <f t="shared" si="9"/>
        <v>0.1111111111111111</v>
      </c>
      <c r="AJ7" s="41">
        <f t="shared" si="10"/>
        <v>0</v>
      </c>
      <c r="AK7" s="41">
        <f t="shared" si="11"/>
        <v>0.1111111111111111</v>
      </c>
      <c r="AL7" s="41">
        <f t="shared" si="12"/>
        <v>0</v>
      </c>
      <c r="AM7" s="65">
        <f t="shared" si="13"/>
        <v>0.77777777777777779</v>
      </c>
    </row>
    <row r="8" spans="1:39" ht="42" x14ac:dyDescent="0.25">
      <c r="A8" s="45" t="s">
        <v>26</v>
      </c>
      <c r="B8" s="46" t="s">
        <v>52</v>
      </c>
      <c r="C8" s="46" t="s">
        <v>53</v>
      </c>
      <c r="D8" s="46">
        <v>0.4375</v>
      </c>
      <c r="E8" s="46" t="s">
        <v>53</v>
      </c>
      <c r="F8" s="46">
        <v>0.52083333333333337</v>
      </c>
      <c r="G8" s="47" t="s">
        <v>58</v>
      </c>
      <c r="H8" s="47" t="s">
        <v>59</v>
      </c>
      <c r="I8" s="46" t="s">
        <v>33</v>
      </c>
      <c r="J8" s="46" t="s">
        <v>34</v>
      </c>
      <c r="K8" s="47" t="s">
        <v>56</v>
      </c>
      <c r="L8" s="47" t="s">
        <v>40</v>
      </c>
      <c r="M8" s="31">
        <v>3</v>
      </c>
      <c r="N8" s="34">
        <v>4</v>
      </c>
      <c r="O8" s="32">
        <v>3</v>
      </c>
      <c r="P8" s="32">
        <v>3</v>
      </c>
      <c r="Q8" s="32">
        <v>3</v>
      </c>
      <c r="R8" s="32">
        <v>3</v>
      </c>
      <c r="S8" s="33">
        <v>2</v>
      </c>
      <c r="T8" s="34">
        <v>3</v>
      </c>
      <c r="U8" s="48">
        <v>3</v>
      </c>
      <c r="V8" s="48">
        <v>3</v>
      </c>
      <c r="W8" s="33">
        <v>3</v>
      </c>
      <c r="X8" s="34">
        <v>3</v>
      </c>
      <c r="Y8" s="33">
        <v>3</v>
      </c>
      <c r="Z8" s="59">
        <v>3</v>
      </c>
      <c r="AA8" s="64">
        <f t="shared" si="1"/>
        <v>0.33333333333333331</v>
      </c>
      <c r="AB8" s="41">
        <f t="shared" si="2"/>
        <v>0</v>
      </c>
      <c r="AC8" s="41">
        <f t="shared" si="3"/>
        <v>0</v>
      </c>
      <c r="AD8" s="41">
        <f t="shared" si="4"/>
        <v>0</v>
      </c>
      <c r="AE8" s="41">
        <f t="shared" si="5"/>
        <v>0</v>
      </c>
      <c r="AF8" s="41">
        <f t="shared" si="6"/>
        <v>0.33333333333333331</v>
      </c>
      <c r="AG8" s="41">
        <f t="shared" si="7"/>
        <v>0</v>
      </c>
      <c r="AH8" s="41">
        <f t="shared" si="8"/>
        <v>0</v>
      </c>
      <c r="AI8" s="41">
        <f t="shared" si="9"/>
        <v>0</v>
      </c>
      <c r="AJ8" s="41">
        <f t="shared" si="10"/>
        <v>0</v>
      </c>
      <c r="AK8" s="41">
        <f t="shared" si="11"/>
        <v>0</v>
      </c>
      <c r="AL8" s="41">
        <f t="shared" si="12"/>
        <v>0</v>
      </c>
      <c r="AM8" s="65">
        <f t="shared" si="13"/>
        <v>0</v>
      </c>
    </row>
    <row r="9" spans="1:39" ht="42" x14ac:dyDescent="0.25">
      <c r="A9" s="45" t="s">
        <v>26</v>
      </c>
      <c r="B9" s="46" t="s">
        <v>52</v>
      </c>
      <c r="C9" s="46" t="s">
        <v>53</v>
      </c>
      <c r="D9" s="46">
        <v>0.4375</v>
      </c>
      <c r="E9" s="46" t="s">
        <v>53</v>
      </c>
      <c r="F9" s="46">
        <v>0.52083333333333337</v>
      </c>
      <c r="G9" s="47" t="s">
        <v>58</v>
      </c>
      <c r="H9" s="47" t="s">
        <v>60</v>
      </c>
      <c r="I9" s="46" t="s">
        <v>33</v>
      </c>
      <c r="J9" s="46" t="s">
        <v>34</v>
      </c>
      <c r="K9" s="47" t="s">
        <v>61</v>
      </c>
      <c r="L9" s="47" t="s">
        <v>36</v>
      </c>
      <c r="M9" s="31">
        <v>6</v>
      </c>
      <c r="N9" s="34">
        <v>11</v>
      </c>
      <c r="O9" s="32">
        <v>9</v>
      </c>
      <c r="P9" s="32"/>
      <c r="Q9" s="32"/>
      <c r="R9" s="32">
        <v>6</v>
      </c>
      <c r="S9" s="33"/>
      <c r="T9" s="34"/>
      <c r="U9" s="48"/>
      <c r="V9" s="48"/>
      <c r="W9" s="33">
        <v>9</v>
      </c>
      <c r="X9" s="34">
        <v>8</v>
      </c>
      <c r="Y9" s="33">
        <v>6</v>
      </c>
      <c r="Z9" s="59"/>
      <c r="AA9" s="64">
        <f t="shared" si="1"/>
        <v>0.83333333333333337</v>
      </c>
      <c r="AB9" s="41">
        <f t="shared" si="2"/>
        <v>0.5</v>
      </c>
      <c r="AC9" s="41">
        <f t="shared" si="3"/>
        <v>0</v>
      </c>
      <c r="AD9" s="41">
        <f t="shared" si="4"/>
        <v>0</v>
      </c>
      <c r="AE9" s="41">
        <f t="shared" si="5"/>
        <v>0</v>
      </c>
      <c r="AF9" s="41">
        <f t="shared" si="6"/>
        <v>0</v>
      </c>
      <c r="AG9" s="41">
        <f t="shared" si="7"/>
        <v>0</v>
      </c>
      <c r="AH9" s="41">
        <f t="shared" si="8"/>
        <v>0</v>
      </c>
      <c r="AI9" s="41">
        <f t="shared" si="9"/>
        <v>0</v>
      </c>
      <c r="AJ9" s="41">
        <f t="shared" si="10"/>
        <v>0.5</v>
      </c>
      <c r="AK9" s="41">
        <f t="shared" si="11"/>
        <v>0.33333333333333331</v>
      </c>
      <c r="AL9" s="41">
        <f t="shared" si="12"/>
        <v>0</v>
      </c>
      <c r="AM9" s="65">
        <f t="shared" si="13"/>
        <v>0</v>
      </c>
    </row>
    <row r="10" spans="1:39" ht="63" x14ac:dyDescent="0.25">
      <c r="A10" s="45" t="s">
        <v>26</v>
      </c>
      <c r="B10" s="46" t="s">
        <v>62</v>
      </c>
      <c r="C10" s="46" t="s">
        <v>63</v>
      </c>
      <c r="D10" s="46">
        <v>0.5625</v>
      </c>
      <c r="E10" s="46" t="s">
        <v>63</v>
      </c>
      <c r="F10" s="46">
        <v>0.64583333333333337</v>
      </c>
      <c r="G10" s="47" t="s">
        <v>31</v>
      </c>
      <c r="H10" s="47" t="s">
        <v>48</v>
      </c>
      <c r="I10" s="46" t="s">
        <v>33</v>
      </c>
      <c r="J10" s="46" t="s">
        <v>34</v>
      </c>
      <c r="K10" s="47" t="s">
        <v>65</v>
      </c>
      <c r="L10" s="47" t="s">
        <v>36</v>
      </c>
      <c r="M10" s="31">
        <v>9</v>
      </c>
      <c r="N10" s="34">
        <v>13</v>
      </c>
      <c r="O10" s="32">
        <v>13</v>
      </c>
      <c r="P10" s="32">
        <v>11</v>
      </c>
      <c r="Q10" s="35">
        <v>14</v>
      </c>
      <c r="R10" s="35">
        <v>16</v>
      </c>
      <c r="S10" s="33">
        <v>7</v>
      </c>
      <c r="T10" s="34">
        <v>13</v>
      </c>
      <c r="U10" s="48">
        <v>13</v>
      </c>
      <c r="V10" s="49">
        <v>17</v>
      </c>
      <c r="W10" s="33">
        <v>12</v>
      </c>
      <c r="X10" s="34">
        <v>13</v>
      </c>
      <c r="Y10" s="33">
        <v>13</v>
      </c>
      <c r="Z10" s="59">
        <v>13</v>
      </c>
      <c r="AA10" s="64">
        <f t="shared" si="1"/>
        <v>0.44444444444444442</v>
      </c>
      <c r="AB10" s="41">
        <f t="shared" si="2"/>
        <v>0.44444444444444442</v>
      </c>
      <c r="AC10" s="41">
        <f t="shared" si="3"/>
        <v>0.22222222222222221</v>
      </c>
      <c r="AD10" s="41">
        <f t="shared" si="4"/>
        <v>0.55555555555555558</v>
      </c>
      <c r="AE10" s="41">
        <f t="shared" si="5"/>
        <v>0.77777777777777779</v>
      </c>
      <c r="AF10" s="41">
        <f t="shared" si="6"/>
        <v>0.22222222222222221</v>
      </c>
      <c r="AG10" s="41">
        <f t="shared" si="7"/>
        <v>0.44444444444444442</v>
      </c>
      <c r="AH10" s="41">
        <f t="shared" si="8"/>
        <v>0.44444444444444442</v>
      </c>
      <c r="AI10" s="41">
        <f t="shared" si="9"/>
        <v>0.88888888888888884</v>
      </c>
      <c r="AJ10" s="41">
        <f t="shared" si="10"/>
        <v>0.33333333333333331</v>
      </c>
      <c r="AK10" s="41">
        <f t="shared" si="11"/>
        <v>0.44444444444444442</v>
      </c>
      <c r="AL10" s="41">
        <f t="shared" si="12"/>
        <v>0.44444444444444442</v>
      </c>
      <c r="AM10" s="65">
        <f t="shared" si="13"/>
        <v>0.44444444444444442</v>
      </c>
    </row>
    <row r="11" spans="1:39" ht="42" x14ac:dyDescent="0.25">
      <c r="A11" s="45" t="s">
        <v>26</v>
      </c>
      <c r="B11" s="46" t="s">
        <v>76</v>
      </c>
      <c r="C11" s="46" t="s">
        <v>77</v>
      </c>
      <c r="D11" s="46">
        <v>0.34375</v>
      </c>
      <c r="E11" s="46" t="s">
        <v>77</v>
      </c>
      <c r="F11" s="46">
        <v>0.42708333333333331</v>
      </c>
      <c r="G11" s="47" t="s">
        <v>54</v>
      </c>
      <c r="H11" s="47" t="s">
        <v>69</v>
      </c>
      <c r="I11" s="46" t="s">
        <v>33</v>
      </c>
      <c r="J11" s="46" t="s">
        <v>34</v>
      </c>
      <c r="K11" s="47" t="s">
        <v>61</v>
      </c>
      <c r="L11" s="47" t="s">
        <v>46</v>
      </c>
      <c r="M11" s="31">
        <v>3</v>
      </c>
      <c r="N11" s="34">
        <v>6</v>
      </c>
      <c r="O11" s="32">
        <v>3</v>
      </c>
      <c r="P11" s="32"/>
      <c r="Q11" s="32">
        <v>3</v>
      </c>
      <c r="R11" s="32">
        <v>6</v>
      </c>
      <c r="S11" s="33">
        <v>4</v>
      </c>
      <c r="T11" s="34">
        <v>3</v>
      </c>
      <c r="U11" s="48">
        <v>6</v>
      </c>
      <c r="V11" s="48">
        <v>2</v>
      </c>
      <c r="W11" s="33">
        <v>3</v>
      </c>
      <c r="X11" s="34">
        <v>3</v>
      </c>
      <c r="Y11" s="33">
        <v>3</v>
      </c>
      <c r="Z11" s="59">
        <v>6</v>
      </c>
      <c r="AA11" s="64">
        <f t="shared" si="1"/>
        <v>1</v>
      </c>
      <c r="AB11" s="41">
        <f t="shared" si="2"/>
        <v>0</v>
      </c>
      <c r="AC11" s="41">
        <f t="shared" si="3"/>
        <v>0</v>
      </c>
      <c r="AD11" s="41">
        <f t="shared" si="4"/>
        <v>0</v>
      </c>
      <c r="AE11" s="41">
        <f t="shared" si="5"/>
        <v>1</v>
      </c>
      <c r="AF11" s="41">
        <f t="shared" si="6"/>
        <v>0.33333333333333331</v>
      </c>
      <c r="AG11" s="41">
        <f t="shared" si="7"/>
        <v>0</v>
      </c>
      <c r="AH11" s="41">
        <f t="shared" si="8"/>
        <v>1</v>
      </c>
      <c r="AI11" s="41">
        <f t="shared" si="9"/>
        <v>0.33333333333333331</v>
      </c>
      <c r="AJ11" s="41">
        <f t="shared" si="10"/>
        <v>0</v>
      </c>
      <c r="AK11" s="41">
        <f t="shared" si="11"/>
        <v>0</v>
      </c>
      <c r="AL11" s="41">
        <f t="shared" si="12"/>
        <v>0</v>
      </c>
      <c r="AM11" s="65">
        <f t="shared" si="13"/>
        <v>1</v>
      </c>
    </row>
    <row r="12" spans="1:39" ht="42" x14ac:dyDescent="0.25">
      <c r="A12" s="45" t="s">
        <v>26</v>
      </c>
      <c r="B12" s="46" t="s">
        <v>76</v>
      </c>
      <c r="C12" s="46" t="s">
        <v>77</v>
      </c>
      <c r="D12" s="46">
        <v>0.4375</v>
      </c>
      <c r="E12" s="46" t="s">
        <v>77</v>
      </c>
      <c r="F12" s="46">
        <v>0.52083333333333337</v>
      </c>
      <c r="G12" s="47" t="s">
        <v>78</v>
      </c>
      <c r="H12" s="47" t="s">
        <v>79</v>
      </c>
      <c r="I12" s="46" t="s">
        <v>33</v>
      </c>
      <c r="J12" s="46" t="s">
        <v>34</v>
      </c>
      <c r="K12" s="47" t="s">
        <v>70</v>
      </c>
      <c r="L12" s="47" t="s">
        <v>46</v>
      </c>
      <c r="M12" s="31">
        <v>10</v>
      </c>
      <c r="N12" s="37">
        <v>20</v>
      </c>
      <c r="O12" s="32">
        <v>10</v>
      </c>
      <c r="P12" s="32"/>
      <c r="Q12" s="35"/>
      <c r="R12" s="35">
        <v>0</v>
      </c>
      <c r="S12" s="33"/>
      <c r="T12" s="34"/>
      <c r="U12" s="48"/>
      <c r="V12" s="48"/>
      <c r="W12" s="33">
        <v>10</v>
      </c>
      <c r="X12" s="34">
        <v>10</v>
      </c>
      <c r="Y12" s="33">
        <v>10</v>
      </c>
      <c r="Z12" s="59"/>
      <c r="AA12" s="64">
        <f t="shared" si="1"/>
        <v>1</v>
      </c>
      <c r="AB12" s="41">
        <f t="shared" si="2"/>
        <v>0</v>
      </c>
      <c r="AC12" s="41">
        <f t="shared" si="3"/>
        <v>0</v>
      </c>
      <c r="AD12" s="41">
        <f t="shared" si="4"/>
        <v>0</v>
      </c>
      <c r="AE12" s="41">
        <f t="shared" si="5"/>
        <v>1</v>
      </c>
      <c r="AF12" s="41">
        <f t="shared" si="6"/>
        <v>0</v>
      </c>
      <c r="AG12" s="41">
        <f t="shared" si="7"/>
        <v>0</v>
      </c>
      <c r="AH12" s="41">
        <f t="shared" si="8"/>
        <v>0</v>
      </c>
      <c r="AI12" s="41">
        <f t="shared" si="9"/>
        <v>0</v>
      </c>
      <c r="AJ12" s="41">
        <f t="shared" si="10"/>
        <v>0</v>
      </c>
      <c r="AK12" s="41">
        <f t="shared" si="11"/>
        <v>0</v>
      </c>
      <c r="AL12" s="41">
        <f t="shared" si="12"/>
        <v>0</v>
      </c>
      <c r="AM12" s="65">
        <f t="shared" si="13"/>
        <v>0</v>
      </c>
    </row>
    <row r="13" spans="1:39" ht="42" x14ac:dyDescent="0.25">
      <c r="A13" s="45" t="s">
        <v>26</v>
      </c>
      <c r="B13" s="46" t="s">
        <v>76</v>
      </c>
      <c r="C13" s="46" t="s">
        <v>77</v>
      </c>
      <c r="D13" s="46">
        <v>0.5625</v>
      </c>
      <c r="E13" s="46" t="s">
        <v>77</v>
      </c>
      <c r="F13" s="46">
        <v>0.64583333333333337</v>
      </c>
      <c r="G13" s="47" t="s">
        <v>78</v>
      </c>
      <c r="H13" s="47" t="s">
        <v>81</v>
      </c>
      <c r="I13" s="46" t="s">
        <v>33</v>
      </c>
      <c r="J13" s="46" t="s">
        <v>34</v>
      </c>
      <c r="K13" s="47" t="s">
        <v>70</v>
      </c>
      <c r="L13" s="47" t="s">
        <v>46</v>
      </c>
      <c r="M13" s="31">
        <v>6</v>
      </c>
      <c r="N13" s="34">
        <v>9</v>
      </c>
      <c r="O13" s="32">
        <v>11</v>
      </c>
      <c r="P13" s="32"/>
      <c r="Q13" s="35"/>
      <c r="R13" s="35">
        <v>0</v>
      </c>
      <c r="S13" s="33"/>
      <c r="T13" s="34"/>
      <c r="U13" s="48"/>
      <c r="V13" s="48"/>
      <c r="W13" s="33"/>
      <c r="X13" s="34">
        <v>5</v>
      </c>
      <c r="Y13" s="33">
        <v>5</v>
      </c>
      <c r="Z13" s="59"/>
      <c r="AA13" s="64">
        <f t="shared" si="1"/>
        <v>0.5</v>
      </c>
      <c r="AB13" s="41">
        <f t="shared" si="2"/>
        <v>0.83333333333333337</v>
      </c>
      <c r="AC13" s="41">
        <f t="shared" si="3"/>
        <v>0</v>
      </c>
      <c r="AD13" s="41">
        <f t="shared" si="4"/>
        <v>0</v>
      </c>
      <c r="AE13" s="41">
        <f t="shared" si="5"/>
        <v>1</v>
      </c>
      <c r="AF13" s="41">
        <f t="shared" si="6"/>
        <v>0</v>
      </c>
      <c r="AG13" s="41">
        <f t="shared" si="7"/>
        <v>0</v>
      </c>
      <c r="AH13" s="41">
        <f t="shared" si="8"/>
        <v>0</v>
      </c>
      <c r="AI13" s="41">
        <f t="shared" si="9"/>
        <v>0</v>
      </c>
      <c r="AJ13" s="41">
        <f t="shared" si="10"/>
        <v>0</v>
      </c>
      <c r="AK13" s="41">
        <f t="shared" si="11"/>
        <v>0.16666666666666666</v>
      </c>
      <c r="AL13" s="41">
        <f t="shared" si="12"/>
        <v>0.16666666666666666</v>
      </c>
      <c r="AM13" s="65">
        <f t="shared" si="13"/>
        <v>0</v>
      </c>
    </row>
    <row r="14" spans="1:39" ht="63" x14ac:dyDescent="0.25">
      <c r="A14" s="45" t="s">
        <v>84</v>
      </c>
      <c r="B14" s="46" t="s">
        <v>27</v>
      </c>
      <c r="C14" s="46">
        <v>45669</v>
      </c>
      <c r="D14" s="46">
        <v>0.34375</v>
      </c>
      <c r="E14" s="46">
        <v>45669</v>
      </c>
      <c r="F14" s="46">
        <v>0.42708333333333331</v>
      </c>
      <c r="G14" s="47" t="s">
        <v>31</v>
      </c>
      <c r="H14" s="47" t="s">
        <v>32</v>
      </c>
      <c r="I14" s="46" t="s">
        <v>33</v>
      </c>
      <c r="J14" s="46" t="s">
        <v>34</v>
      </c>
      <c r="K14" s="47" t="s">
        <v>35</v>
      </c>
      <c r="L14" s="47" t="s">
        <v>36</v>
      </c>
      <c r="M14" s="31">
        <v>7</v>
      </c>
      <c r="N14" s="34">
        <v>18</v>
      </c>
      <c r="O14" s="32">
        <v>8</v>
      </c>
      <c r="P14" s="32">
        <v>7</v>
      </c>
      <c r="Q14" s="32"/>
      <c r="R14" s="35">
        <v>26</v>
      </c>
      <c r="S14" s="33">
        <v>11</v>
      </c>
      <c r="T14" s="34"/>
      <c r="U14" s="48">
        <v>12</v>
      </c>
      <c r="V14" s="48">
        <v>7</v>
      </c>
      <c r="W14" s="33">
        <v>8</v>
      </c>
      <c r="X14" s="34">
        <v>7</v>
      </c>
      <c r="Y14" s="33">
        <v>7</v>
      </c>
      <c r="Z14" s="59">
        <v>12</v>
      </c>
      <c r="AA14" s="64">
        <f t="shared" si="1"/>
        <v>1.5714285714285714</v>
      </c>
      <c r="AB14" s="41">
        <f t="shared" si="2"/>
        <v>0.14285714285714285</v>
      </c>
      <c r="AC14" s="41">
        <f t="shared" si="3"/>
        <v>0</v>
      </c>
      <c r="AD14" s="41">
        <f t="shared" si="4"/>
        <v>0</v>
      </c>
      <c r="AE14" s="41">
        <f t="shared" si="5"/>
        <v>2.7142857142857144</v>
      </c>
      <c r="AF14" s="41">
        <f t="shared" si="6"/>
        <v>0.5714285714285714</v>
      </c>
      <c r="AG14" s="41">
        <f t="shared" si="7"/>
        <v>0</v>
      </c>
      <c r="AH14" s="41">
        <f t="shared" si="8"/>
        <v>0.7142857142857143</v>
      </c>
      <c r="AI14" s="41">
        <f t="shared" si="9"/>
        <v>0</v>
      </c>
      <c r="AJ14" s="41">
        <f t="shared" si="10"/>
        <v>0.14285714285714285</v>
      </c>
      <c r="AK14" s="41">
        <f t="shared" si="11"/>
        <v>0</v>
      </c>
      <c r="AL14" s="41">
        <f t="shared" si="12"/>
        <v>0</v>
      </c>
      <c r="AM14" s="65">
        <f t="shared" si="13"/>
        <v>0.7142857142857143</v>
      </c>
    </row>
    <row r="15" spans="1:39" ht="42" x14ac:dyDescent="0.25">
      <c r="A15" s="45" t="s">
        <v>84</v>
      </c>
      <c r="B15" s="46" t="s">
        <v>27</v>
      </c>
      <c r="C15" s="46">
        <v>45669</v>
      </c>
      <c r="D15" s="46">
        <v>0.38541666666666669</v>
      </c>
      <c r="E15" s="46">
        <v>45669</v>
      </c>
      <c r="F15" s="46">
        <v>0.52083333333333337</v>
      </c>
      <c r="G15" s="47" t="s">
        <v>43</v>
      </c>
      <c r="H15" s="47" t="s">
        <v>44</v>
      </c>
      <c r="I15" s="46" t="s">
        <v>33</v>
      </c>
      <c r="J15" s="46" t="s">
        <v>34</v>
      </c>
      <c r="K15" s="47" t="s">
        <v>45</v>
      </c>
      <c r="L15" s="47" t="s">
        <v>46</v>
      </c>
      <c r="M15" s="31">
        <v>15</v>
      </c>
      <c r="N15" s="34">
        <v>19</v>
      </c>
      <c r="O15" s="32">
        <v>13</v>
      </c>
      <c r="P15" s="32"/>
      <c r="Q15" s="32"/>
      <c r="R15" s="32">
        <v>0</v>
      </c>
      <c r="S15" s="33">
        <v>6</v>
      </c>
      <c r="T15" s="34"/>
      <c r="U15" s="48">
        <v>9</v>
      </c>
      <c r="V15" s="48"/>
      <c r="W15" s="33">
        <v>13</v>
      </c>
      <c r="X15" s="34">
        <v>13</v>
      </c>
      <c r="Y15" s="33"/>
      <c r="Z15" s="59">
        <v>9</v>
      </c>
      <c r="AA15" s="64">
        <f t="shared" si="1"/>
        <v>0.26666666666666666</v>
      </c>
      <c r="AB15" s="41">
        <f t="shared" si="2"/>
        <v>0.13333333333333333</v>
      </c>
      <c r="AC15" s="41">
        <f t="shared" si="3"/>
        <v>0</v>
      </c>
      <c r="AD15" s="41">
        <f t="shared" si="4"/>
        <v>0</v>
      </c>
      <c r="AE15" s="41">
        <f t="shared" si="5"/>
        <v>1</v>
      </c>
      <c r="AF15" s="41">
        <f t="shared" si="6"/>
        <v>0.6</v>
      </c>
      <c r="AG15" s="41">
        <f t="shared" si="7"/>
        <v>0</v>
      </c>
      <c r="AH15" s="41">
        <f t="shared" si="8"/>
        <v>0.4</v>
      </c>
      <c r="AI15" s="41">
        <f t="shared" si="9"/>
        <v>0</v>
      </c>
      <c r="AJ15" s="41">
        <f t="shared" si="10"/>
        <v>0.13333333333333333</v>
      </c>
      <c r="AK15" s="41">
        <f t="shared" si="11"/>
        <v>0.13333333333333333</v>
      </c>
      <c r="AL15" s="41">
        <f t="shared" si="12"/>
        <v>0</v>
      </c>
      <c r="AM15" s="65">
        <f t="shared" si="13"/>
        <v>0.4</v>
      </c>
    </row>
    <row r="16" spans="1:39" ht="63" x14ac:dyDescent="0.25">
      <c r="A16" s="45" t="s">
        <v>84</v>
      </c>
      <c r="B16" s="46" t="s">
        <v>27</v>
      </c>
      <c r="C16" s="46">
        <v>45669</v>
      </c>
      <c r="D16" s="46">
        <v>0.4375</v>
      </c>
      <c r="E16" s="46">
        <v>45669</v>
      </c>
      <c r="F16" s="46">
        <v>0.52083333333333337</v>
      </c>
      <c r="G16" s="47" t="s">
        <v>31</v>
      </c>
      <c r="H16" s="47" t="s">
        <v>48</v>
      </c>
      <c r="I16" s="46" t="s">
        <v>33</v>
      </c>
      <c r="J16" s="46" t="s">
        <v>34</v>
      </c>
      <c r="K16" s="47" t="s">
        <v>35</v>
      </c>
      <c r="L16" s="47" t="s">
        <v>36</v>
      </c>
      <c r="M16" s="31">
        <v>10</v>
      </c>
      <c r="N16" s="37">
        <v>21</v>
      </c>
      <c r="O16" s="32">
        <v>18</v>
      </c>
      <c r="P16" s="32">
        <v>7</v>
      </c>
      <c r="Q16" s="35">
        <v>24</v>
      </c>
      <c r="R16" s="35">
        <v>35</v>
      </c>
      <c r="S16" s="33">
        <v>10</v>
      </c>
      <c r="T16" s="37"/>
      <c r="U16" s="49">
        <v>20</v>
      </c>
      <c r="V16" s="49">
        <v>21</v>
      </c>
      <c r="W16" s="36">
        <v>16</v>
      </c>
      <c r="X16" s="37">
        <v>18</v>
      </c>
      <c r="Y16" s="36">
        <v>20</v>
      </c>
      <c r="Z16" s="60">
        <v>19</v>
      </c>
      <c r="AA16" s="64">
        <f t="shared" si="1"/>
        <v>1.1000000000000001</v>
      </c>
      <c r="AB16" s="41">
        <f t="shared" si="2"/>
        <v>0.8</v>
      </c>
      <c r="AC16" s="41">
        <f t="shared" si="3"/>
        <v>0.3</v>
      </c>
      <c r="AD16" s="41">
        <f t="shared" si="4"/>
        <v>1.4</v>
      </c>
      <c r="AE16" s="41">
        <f t="shared" si="5"/>
        <v>2.5</v>
      </c>
      <c r="AF16" s="41">
        <f t="shared" si="6"/>
        <v>0</v>
      </c>
      <c r="AG16" s="41">
        <f t="shared" si="7"/>
        <v>0</v>
      </c>
      <c r="AH16" s="41">
        <f t="shared" si="8"/>
        <v>1</v>
      </c>
      <c r="AI16" s="41">
        <f t="shared" si="9"/>
        <v>1.1000000000000001</v>
      </c>
      <c r="AJ16" s="41">
        <f t="shared" si="10"/>
        <v>0.6</v>
      </c>
      <c r="AK16" s="41">
        <f t="shared" si="11"/>
        <v>0.8</v>
      </c>
      <c r="AL16" s="41">
        <f t="shared" si="12"/>
        <v>1</v>
      </c>
      <c r="AM16" s="65">
        <f t="shared" si="13"/>
        <v>0.9</v>
      </c>
    </row>
    <row r="17" spans="1:40" ht="42" x14ac:dyDescent="0.25">
      <c r="A17" s="45" t="s">
        <v>84</v>
      </c>
      <c r="B17" s="46" t="s">
        <v>27</v>
      </c>
      <c r="C17" s="46">
        <v>45669</v>
      </c>
      <c r="D17" s="46">
        <v>0.5625</v>
      </c>
      <c r="E17" s="46">
        <v>45669</v>
      </c>
      <c r="F17" s="46">
        <v>0.69791666666666663</v>
      </c>
      <c r="G17" s="47" t="s">
        <v>43</v>
      </c>
      <c r="H17" s="47" t="s">
        <v>51</v>
      </c>
      <c r="I17" s="46" t="s">
        <v>33</v>
      </c>
      <c r="J17" s="46" t="s">
        <v>34</v>
      </c>
      <c r="K17" s="47" t="s">
        <v>45</v>
      </c>
      <c r="L17" s="47" t="s">
        <v>46</v>
      </c>
      <c r="M17" s="31">
        <v>12</v>
      </c>
      <c r="N17" s="37">
        <v>19</v>
      </c>
      <c r="O17" s="32">
        <v>14</v>
      </c>
      <c r="P17" s="32"/>
      <c r="Q17" s="32"/>
      <c r="R17" s="32">
        <v>0</v>
      </c>
      <c r="S17" s="33"/>
      <c r="T17" s="34"/>
      <c r="U17" s="48"/>
      <c r="V17" s="48"/>
      <c r="W17" s="33">
        <v>14</v>
      </c>
      <c r="X17" s="34">
        <v>15</v>
      </c>
      <c r="Y17" s="33"/>
      <c r="Z17" s="59"/>
      <c r="AA17" s="64">
        <f t="shared" si="1"/>
        <v>0.58333333333333337</v>
      </c>
      <c r="AB17" s="41">
        <f t="shared" si="2"/>
        <v>0.16666666666666666</v>
      </c>
      <c r="AC17" s="41">
        <f t="shared" si="3"/>
        <v>0</v>
      </c>
      <c r="AD17" s="41">
        <f t="shared" si="4"/>
        <v>0</v>
      </c>
      <c r="AE17" s="41">
        <f t="shared" si="5"/>
        <v>1</v>
      </c>
      <c r="AF17" s="41">
        <f t="shared" si="6"/>
        <v>0</v>
      </c>
      <c r="AG17" s="41">
        <f t="shared" si="7"/>
        <v>0</v>
      </c>
      <c r="AH17" s="41">
        <f t="shared" si="8"/>
        <v>0</v>
      </c>
      <c r="AI17" s="41">
        <f t="shared" si="9"/>
        <v>0</v>
      </c>
      <c r="AJ17" s="41">
        <f t="shared" si="10"/>
        <v>0.16666666666666666</v>
      </c>
      <c r="AK17" s="41">
        <f t="shared" si="11"/>
        <v>0.25</v>
      </c>
      <c r="AL17" s="41">
        <f t="shared" si="12"/>
        <v>0</v>
      </c>
      <c r="AM17" s="65">
        <f t="shared" si="13"/>
        <v>0</v>
      </c>
    </row>
    <row r="18" spans="1:40" ht="63" x14ac:dyDescent="0.25">
      <c r="A18" s="45" t="s">
        <v>84</v>
      </c>
      <c r="B18" s="46" t="s">
        <v>27</v>
      </c>
      <c r="C18" s="46">
        <v>45669</v>
      </c>
      <c r="D18" s="46">
        <v>0.65625</v>
      </c>
      <c r="E18" s="46">
        <v>45669</v>
      </c>
      <c r="F18" s="46">
        <v>0.73958333333333337</v>
      </c>
      <c r="G18" s="47" t="s">
        <v>71</v>
      </c>
      <c r="H18" s="47" t="s">
        <v>91</v>
      </c>
      <c r="I18" s="46" t="s">
        <v>87</v>
      </c>
      <c r="J18" s="46" t="s">
        <v>34</v>
      </c>
      <c r="K18" s="47" t="s">
        <v>56</v>
      </c>
      <c r="L18" s="47" t="s">
        <v>75</v>
      </c>
      <c r="M18" s="31">
        <v>5</v>
      </c>
      <c r="N18" s="34">
        <v>5</v>
      </c>
      <c r="O18" s="32">
        <v>7</v>
      </c>
      <c r="P18" s="32">
        <v>5</v>
      </c>
      <c r="Q18" s="35">
        <v>10</v>
      </c>
      <c r="R18" s="32">
        <v>7</v>
      </c>
      <c r="S18" s="33">
        <v>5</v>
      </c>
      <c r="T18" s="34">
        <v>7</v>
      </c>
      <c r="U18" s="48"/>
      <c r="V18" s="49">
        <v>9</v>
      </c>
      <c r="W18" s="33">
        <v>7</v>
      </c>
      <c r="X18" s="34">
        <v>7</v>
      </c>
      <c r="Y18" s="33">
        <v>9</v>
      </c>
      <c r="Z18" s="59">
        <v>5</v>
      </c>
      <c r="AA18" s="64">
        <f t="shared" si="1"/>
        <v>0</v>
      </c>
      <c r="AB18" s="41">
        <f t="shared" si="2"/>
        <v>0.4</v>
      </c>
      <c r="AC18" s="41">
        <f t="shared" si="3"/>
        <v>0</v>
      </c>
      <c r="AD18" s="41">
        <f t="shared" si="4"/>
        <v>1</v>
      </c>
      <c r="AE18" s="41">
        <f t="shared" si="5"/>
        <v>0.4</v>
      </c>
      <c r="AF18" s="41">
        <f t="shared" si="6"/>
        <v>0</v>
      </c>
      <c r="AG18" s="41">
        <f t="shared" si="7"/>
        <v>0.4</v>
      </c>
      <c r="AH18" s="41">
        <f t="shared" si="8"/>
        <v>0</v>
      </c>
      <c r="AI18" s="41">
        <f t="shared" si="9"/>
        <v>0.8</v>
      </c>
      <c r="AJ18" s="41">
        <f t="shared" si="10"/>
        <v>0.4</v>
      </c>
      <c r="AK18" s="41">
        <f t="shared" si="11"/>
        <v>0.4</v>
      </c>
      <c r="AL18" s="41">
        <f t="shared" si="12"/>
        <v>0.8</v>
      </c>
      <c r="AM18" s="65">
        <f t="shared" si="13"/>
        <v>0</v>
      </c>
    </row>
    <row r="19" spans="1:40" ht="42" x14ac:dyDescent="0.25">
      <c r="A19" s="45" t="s">
        <v>84</v>
      </c>
      <c r="B19" s="46" t="s">
        <v>52</v>
      </c>
      <c r="C19" s="46">
        <v>45700</v>
      </c>
      <c r="D19" s="46">
        <v>0.34375</v>
      </c>
      <c r="E19" s="46">
        <v>45700</v>
      </c>
      <c r="F19" s="46">
        <v>0.42708333333333331</v>
      </c>
      <c r="G19" s="47" t="s">
        <v>54</v>
      </c>
      <c r="H19" s="47" t="s">
        <v>55</v>
      </c>
      <c r="I19" s="46" t="s">
        <v>33</v>
      </c>
      <c r="J19" s="46" t="s">
        <v>34</v>
      </c>
      <c r="K19" s="47" t="s">
        <v>56</v>
      </c>
      <c r="L19" s="47" t="s">
        <v>40</v>
      </c>
      <c r="M19" s="31">
        <v>3</v>
      </c>
      <c r="N19" s="34">
        <v>4</v>
      </c>
      <c r="O19" s="32">
        <v>4</v>
      </c>
      <c r="P19" s="32">
        <v>3</v>
      </c>
      <c r="Q19" s="32">
        <v>4</v>
      </c>
      <c r="R19" s="32">
        <v>3</v>
      </c>
      <c r="S19" s="33">
        <v>3</v>
      </c>
      <c r="T19" s="34">
        <v>4</v>
      </c>
      <c r="U19" s="48">
        <v>3</v>
      </c>
      <c r="V19" s="48">
        <v>3</v>
      </c>
      <c r="W19" s="33">
        <v>4</v>
      </c>
      <c r="X19" s="34">
        <v>4</v>
      </c>
      <c r="Y19" s="33">
        <v>4</v>
      </c>
      <c r="Z19" s="59">
        <v>3</v>
      </c>
      <c r="AA19" s="64">
        <f t="shared" si="1"/>
        <v>0.33333333333333331</v>
      </c>
      <c r="AB19" s="41">
        <f t="shared" si="2"/>
        <v>0.33333333333333331</v>
      </c>
      <c r="AC19" s="41">
        <f t="shared" si="3"/>
        <v>0</v>
      </c>
      <c r="AD19" s="41">
        <f t="shared" si="4"/>
        <v>0.33333333333333331</v>
      </c>
      <c r="AE19" s="41">
        <f t="shared" si="5"/>
        <v>0</v>
      </c>
      <c r="AF19" s="41">
        <f t="shared" si="6"/>
        <v>0</v>
      </c>
      <c r="AG19" s="41">
        <f t="shared" si="7"/>
        <v>0.33333333333333331</v>
      </c>
      <c r="AH19" s="41">
        <f t="shared" si="8"/>
        <v>0</v>
      </c>
      <c r="AI19" s="41">
        <f t="shared" si="9"/>
        <v>0</v>
      </c>
      <c r="AJ19" s="41">
        <f t="shared" si="10"/>
        <v>0.33333333333333331</v>
      </c>
      <c r="AK19" s="41">
        <f t="shared" si="11"/>
        <v>0.33333333333333331</v>
      </c>
      <c r="AL19" s="41">
        <f t="shared" si="12"/>
        <v>0.33333333333333331</v>
      </c>
      <c r="AM19" s="65">
        <f t="shared" si="13"/>
        <v>0</v>
      </c>
    </row>
    <row r="20" spans="1:40" ht="63" x14ac:dyDescent="0.25">
      <c r="A20" s="45" t="s">
        <v>84</v>
      </c>
      <c r="B20" s="46" t="s">
        <v>52</v>
      </c>
      <c r="C20" s="46">
        <v>45700</v>
      </c>
      <c r="D20" s="46">
        <v>0.34375</v>
      </c>
      <c r="E20" s="46">
        <v>45700</v>
      </c>
      <c r="F20" s="46">
        <v>0.42708333333333331</v>
      </c>
      <c r="G20" s="47" t="s">
        <v>31</v>
      </c>
      <c r="H20" s="47" t="s">
        <v>32</v>
      </c>
      <c r="I20" s="46" t="s">
        <v>33</v>
      </c>
      <c r="J20" s="46" t="s">
        <v>34</v>
      </c>
      <c r="K20" s="47" t="s">
        <v>93</v>
      </c>
      <c r="L20" s="47" t="s">
        <v>36</v>
      </c>
      <c r="M20" s="31">
        <v>7</v>
      </c>
      <c r="N20" s="37">
        <v>12</v>
      </c>
      <c r="O20" s="32">
        <v>6</v>
      </c>
      <c r="P20" s="32">
        <v>6</v>
      </c>
      <c r="Q20" s="32">
        <v>6</v>
      </c>
      <c r="R20" s="35">
        <v>11</v>
      </c>
      <c r="S20" s="33">
        <v>11</v>
      </c>
      <c r="T20" s="34">
        <v>5</v>
      </c>
      <c r="U20" s="48">
        <v>11</v>
      </c>
      <c r="V20" s="48">
        <v>6</v>
      </c>
      <c r="W20" s="33">
        <v>6</v>
      </c>
      <c r="X20" s="34">
        <v>6</v>
      </c>
      <c r="Y20" s="33">
        <v>6</v>
      </c>
      <c r="Z20" s="59">
        <v>11</v>
      </c>
      <c r="AA20" s="64">
        <f t="shared" si="1"/>
        <v>0.7142857142857143</v>
      </c>
      <c r="AB20" s="41">
        <f t="shared" si="2"/>
        <v>0.14285714285714285</v>
      </c>
      <c r="AC20" s="41">
        <f t="shared" si="3"/>
        <v>0.14285714285714285</v>
      </c>
      <c r="AD20" s="41">
        <f t="shared" si="4"/>
        <v>0.14285714285714285</v>
      </c>
      <c r="AE20" s="41">
        <f t="shared" si="5"/>
        <v>0.5714285714285714</v>
      </c>
      <c r="AF20" s="41">
        <f t="shared" si="6"/>
        <v>0.5714285714285714</v>
      </c>
      <c r="AG20" s="41">
        <f t="shared" si="7"/>
        <v>0.2857142857142857</v>
      </c>
      <c r="AH20" s="41">
        <f t="shared" si="8"/>
        <v>0.5714285714285714</v>
      </c>
      <c r="AI20" s="41">
        <f t="shared" si="9"/>
        <v>0.14285714285714285</v>
      </c>
      <c r="AJ20" s="41">
        <f t="shared" si="10"/>
        <v>0.14285714285714285</v>
      </c>
      <c r="AK20" s="41">
        <f t="shared" si="11"/>
        <v>0.14285714285714285</v>
      </c>
      <c r="AL20" s="41">
        <f t="shared" si="12"/>
        <v>0.14285714285714285</v>
      </c>
      <c r="AM20" s="65">
        <f t="shared" si="13"/>
        <v>0.5714285714285714</v>
      </c>
    </row>
    <row r="21" spans="1:40" ht="42" x14ac:dyDescent="0.25">
      <c r="A21" s="45" t="s">
        <v>84</v>
      </c>
      <c r="B21" s="46" t="s">
        <v>52</v>
      </c>
      <c r="C21" s="46">
        <v>45700</v>
      </c>
      <c r="D21" s="46">
        <v>0.4375</v>
      </c>
      <c r="E21" s="46">
        <v>45700</v>
      </c>
      <c r="F21" s="46">
        <v>0.52083333333333337</v>
      </c>
      <c r="G21" s="47" t="s">
        <v>58</v>
      </c>
      <c r="H21" s="47" t="s">
        <v>59</v>
      </c>
      <c r="I21" s="46" t="s">
        <v>33</v>
      </c>
      <c r="J21" s="46" t="s">
        <v>34</v>
      </c>
      <c r="K21" s="47" t="s">
        <v>56</v>
      </c>
      <c r="L21" s="47" t="s">
        <v>40</v>
      </c>
      <c r="M21" s="31">
        <v>3</v>
      </c>
      <c r="N21" s="34">
        <v>3</v>
      </c>
      <c r="O21" s="32">
        <v>3</v>
      </c>
      <c r="P21" s="32">
        <v>3</v>
      </c>
      <c r="Q21" s="32">
        <v>3</v>
      </c>
      <c r="R21" s="32">
        <v>3</v>
      </c>
      <c r="S21" s="33">
        <v>2</v>
      </c>
      <c r="T21" s="34">
        <v>3</v>
      </c>
      <c r="U21" s="48">
        <v>3</v>
      </c>
      <c r="V21" s="48">
        <v>3</v>
      </c>
      <c r="W21" s="33">
        <v>3</v>
      </c>
      <c r="X21" s="34">
        <v>3</v>
      </c>
      <c r="Y21" s="33">
        <v>3</v>
      </c>
      <c r="Z21" s="59">
        <v>3</v>
      </c>
      <c r="AA21" s="64">
        <f t="shared" si="1"/>
        <v>0</v>
      </c>
      <c r="AB21" s="41">
        <f t="shared" si="2"/>
        <v>0</v>
      </c>
      <c r="AC21" s="41">
        <f t="shared" si="3"/>
        <v>0</v>
      </c>
      <c r="AD21" s="41">
        <f t="shared" si="4"/>
        <v>0</v>
      </c>
      <c r="AE21" s="41">
        <f t="shared" si="5"/>
        <v>0</v>
      </c>
      <c r="AF21" s="41">
        <f t="shared" si="6"/>
        <v>0.33333333333333331</v>
      </c>
      <c r="AG21" s="41">
        <f t="shared" si="7"/>
        <v>0</v>
      </c>
      <c r="AH21" s="41">
        <f t="shared" si="8"/>
        <v>0</v>
      </c>
      <c r="AI21" s="41">
        <f t="shared" si="9"/>
        <v>0</v>
      </c>
      <c r="AJ21" s="41">
        <f t="shared" si="10"/>
        <v>0</v>
      </c>
      <c r="AK21" s="41">
        <f t="shared" si="11"/>
        <v>0</v>
      </c>
      <c r="AL21" s="41">
        <f t="shared" si="12"/>
        <v>0</v>
      </c>
      <c r="AM21" s="65">
        <f t="shared" si="13"/>
        <v>0</v>
      </c>
    </row>
    <row r="22" spans="1:40" ht="42" x14ac:dyDescent="0.25">
      <c r="A22" s="45" t="s">
        <v>84</v>
      </c>
      <c r="B22" s="46" t="s">
        <v>52</v>
      </c>
      <c r="C22" s="46">
        <v>45700</v>
      </c>
      <c r="D22" s="46">
        <v>0.4375</v>
      </c>
      <c r="E22" s="46">
        <v>45700</v>
      </c>
      <c r="F22" s="46">
        <v>0.52083333333333337</v>
      </c>
      <c r="G22" s="47" t="s">
        <v>58</v>
      </c>
      <c r="H22" s="47" t="s">
        <v>60</v>
      </c>
      <c r="I22" s="46" t="s">
        <v>33</v>
      </c>
      <c r="J22" s="46" t="s">
        <v>34</v>
      </c>
      <c r="K22" s="47" t="s">
        <v>61</v>
      </c>
      <c r="L22" s="47" t="s">
        <v>36</v>
      </c>
      <c r="M22" s="31">
        <v>7</v>
      </c>
      <c r="N22" s="37">
        <v>12</v>
      </c>
      <c r="O22" s="32">
        <v>7</v>
      </c>
      <c r="P22" s="32"/>
      <c r="Q22" s="32"/>
      <c r="R22" s="32">
        <v>0</v>
      </c>
      <c r="S22" s="33"/>
      <c r="T22" s="34"/>
      <c r="U22" s="48"/>
      <c r="V22" s="48"/>
      <c r="W22" s="33">
        <v>7</v>
      </c>
      <c r="X22" s="34">
        <v>7</v>
      </c>
      <c r="Y22" s="33">
        <v>7</v>
      </c>
      <c r="Z22" s="59"/>
      <c r="AA22" s="64">
        <f t="shared" si="1"/>
        <v>0.7142857142857143</v>
      </c>
      <c r="AB22" s="41">
        <f t="shared" si="2"/>
        <v>0</v>
      </c>
      <c r="AC22" s="41">
        <f t="shared" si="3"/>
        <v>0</v>
      </c>
      <c r="AD22" s="41">
        <f t="shared" si="4"/>
        <v>0</v>
      </c>
      <c r="AE22" s="41">
        <f t="shared" si="5"/>
        <v>1</v>
      </c>
      <c r="AF22" s="41">
        <f t="shared" si="6"/>
        <v>0</v>
      </c>
      <c r="AG22" s="41">
        <f t="shared" si="7"/>
        <v>0</v>
      </c>
      <c r="AH22" s="41">
        <f t="shared" si="8"/>
        <v>0</v>
      </c>
      <c r="AI22" s="41">
        <f t="shared" si="9"/>
        <v>0</v>
      </c>
      <c r="AJ22" s="41">
        <f t="shared" si="10"/>
        <v>0</v>
      </c>
      <c r="AK22" s="41">
        <f t="shared" si="11"/>
        <v>0</v>
      </c>
      <c r="AL22" s="41">
        <f t="shared" si="12"/>
        <v>0</v>
      </c>
      <c r="AM22" s="65">
        <f t="shared" si="13"/>
        <v>0</v>
      </c>
    </row>
    <row r="23" spans="1:40" ht="42" x14ac:dyDescent="0.25">
      <c r="A23" s="45" t="s">
        <v>84</v>
      </c>
      <c r="B23" s="46" t="s">
        <v>66</v>
      </c>
      <c r="C23" s="46">
        <v>45759</v>
      </c>
      <c r="D23" s="46">
        <v>0.38541666666666669</v>
      </c>
      <c r="E23" s="46">
        <v>45759</v>
      </c>
      <c r="F23" s="46">
        <v>0.42708333333333331</v>
      </c>
      <c r="G23" s="47" t="s">
        <v>68</v>
      </c>
      <c r="H23" s="47" t="s">
        <v>69</v>
      </c>
      <c r="I23" s="46" t="s">
        <v>33</v>
      </c>
      <c r="J23" s="46" t="s">
        <v>34</v>
      </c>
      <c r="K23" s="47" t="s">
        <v>70</v>
      </c>
      <c r="L23" s="47" t="s">
        <v>40</v>
      </c>
      <c r="M23" s="31">
        <v>11</v>
      </c>
      <c r="N23" s="37">
        <v>23</v>
      </c>
      <c r="O23" s="32">
        <v>11</v>
      </c>
      <c r="P23" s="32">
        <v>11</v>
      </c>
      <c r="Q23" s="32">
        <v>11</v>
      </c>
      <c r="R23" s="32">
        <v>11</v>
      </c>
      <c r="S23" s="33">
        <v>4</v>
      </c>
      <c r="T23" s="34">
        <v>16</v>
      </c>
      <c r="U23" s="48">
        <v>11</v>
      </c>
      <c r="V23" s="48">
        <v>6</v>
      </c>
      <c r="W23" s="33">
        <v>11</v>
      </c>
      <c r="X23" s="34">
        <v>11</v>
      </c>
      <c r="Y23" s="33">
        <v>11</v>
      </c>
      <c r="Z23" s="59">
        <v>11</v>
      </c>
      <c r="AA23" s="64">
        <f t="shared" si="1"/>
        <v>1.0909090909090908</v>
      </c>
      <c r="AB23" s="41">
        <f t="shared" si="2"/>
        <v>0</v>
      </c>
      <c r="AC23" s="41">
        <f t="shared" si="3"/>
        <v>0</v>
      </c>
      <c r="AD23" s="41">
        <f t="shared" si="4"/>
        <v>0</v>
      </c>
      <c r="AE23" s="41">
        <f t="shared" si="5"/>
        <v>0</v>
      </c>
      <c r="AF23" s="41">
        <f t="shared" si="6"/>
        <v>0.63636363636363635</v>
      </c>
      <c r="AG23" s="41">
        <f t="shared" si="7"/>
        <v>0.45454545454545453</v>
      </c>
      <c r="AH23" s="41">
        <f t="shared" si="8"/>
        <v>0</v>
      </c>
      <c r="AI23" s="41">
        <f t="shared" si="9"/>
        <v>0.45454545454545453</v>
      </c>
      <c r="AJ23" s="41">
        <f t="shared" si="10"/>
        <v>0</v>
      </c>
      <c r="AK23" s="41">
        <f t="shared" si="11"/>
        <v>0</v>
      </c>
      <c r="AL23" s="41">
        <f t="shared" si="12"/>
        <v>0</v>
      </c>
      <c r="AM23" s="65">
        <f t="shared" si="13"/>
        <v>0</v>
      </c>
    </row>
    <row r="24" spans="1:40" ht="42" x14ac:dyDescent="0.25">
      <c r="A24" s="45" t="s">
        <v>84</v>
      </c>
      <c r="B24" s="46" t="s">
        <v>66</v>
      </c>
      <c r="C24" s="46">
        <v>45759</v>
      </c>
      <c r="D24" s="46">
        <v>0.4375</v>
      </c>
      <c r="E24" s="46">
        <v>45759</v>
      </c>
      <c r="F24" s="46">
        <v>0.52083333333333337</v>
      </c>
      <c r="G24" s="47" t="s">
        <v>68</v>
      </c>
      <c r="H24" s="47" t="s">
        <v>69</v>
      </c>
      <c r="I24" s="46" t="s">
        <v>33</v>
      </c>
      <c r="J24" s="46" t="s">
        <v>34</v>
      </c>
      <c r="K24" s="47" t="s">
        <v>70</v>
      </c>
      <c r="L24" s="47" t="s">
        <v>40</v>
      </c>
      <c r="M24" s="31">
        <v>11</v>
      </c>
      <c r="N24" s="37">
        <v>25</v>
      </c>
      <c r="O24" s="32">
        <v>14</v>
      </c>
      <c r="P24" s="32">
        <v>13</v>
      </c>
      <c r="Q24" s="32">
        <v>14</v>
      </c>
      <c r="R24" s="32">
        <v>14</v>
      </c>
      <c r="S24" s="33">
        <v>9</v>
      </c>
      <c r="T24" s="37">
        <v>19</v>
      </c>
      <c r="U24" s="48">
        <v>14</v>
      </c>
      <c r="V24" s="48">
        <v>10</v>
      </c>
      <c r="W24" s="33">
        <v>14</v>
      </c>
      <c r="X24" s="34">
        <v>13</v>
      </c>
      <c r="Y24" s="33">
        <v>14</v>
      </c>
      <c r="Z24" s="59">
        <v>14</v>
      </c>
      <c r="AA24" s="64">
        <f t="shared" si="1"/>
        <v>1.2727272727272727</v>
      </c>
      <c r="AB24" s="41">
        <f t="shared" si="2"/>
        <v>0.27272727272727271</v>
      </c>
      <c r="AC24" s="41">
        <f t="shared" si="3"/>
        <v>0.18181818181818182</v>
      </c>
      <c r="AD24" s="41">
        <f t="shared" si="4"/>
        <v>0.27272727272727271</v>
      </c>
      <c r="AE24" s="41">
        <f t="shared" si="5"/>
        <v>0.27272727272727271</v>
      </c>
      <c r="AF24" s="41">
        <f t="shared" si="6"/>
        <v>0.18181818181818182</v>
      </c>
      <c r="AG24" s="41">
        <f t="shared" si="7"/>
        <v>0.72727272727272729</v>
      </c>
      <c r="AH24" s="41">
        <f t="shared" si="8"/>
        <v>0.27272727272727271</v>
      </c>
      <c r="AI24" s="41">
        <f t="shared" si="9"/>
        <v>9.0909090909090912E-2</v>
      </c>
      <c r="AJ24" s="41">
        <f t="shared" si="10"/>
        <v>0.27272727272727271</v>
      </c>
      <c r="AK24" s="41">
        <f t="shared" si="11"/>
        <v>0.18181818181818182</v>
      </c>
      <c r="AL24" s="41">
        <f t="shared" si="12"/>
        <v>0.27272727272727271</v>
      </c>
      <c r="AM24" s="65">
        <f t="shared" si="13"/>
        <v>0.27272727272727271</v>
      </c>
    </row>
    <row r="25" spans="1:40" ht="42" x14ac:dyDescent="0.25">
      <c r="A25" s="45" t="s">
        <v>84</v>
      </c>
      <c r="B25" s="46" t="s">
        <v>76</v>
      </c>
      <c r="C25" s="46">
        <v>45789</v>
      </c>
      <c r="D25" s="46">
        <v>0.34375</v>
      </c>
      <c r="E25" s="46">
        <v>45789</v>
      </c>
      <c r="F25" s="46">
        <v>0.42708333333333331</v>
      </c>
      <c r="G25" s="47" t="s">
        <v>54</v>
      </c>
      <c r="H25" s="47" t="s">
        <v>69</v>
      </c>
      <c r="I25" s="46" t="s">
        <v>33</v>
      </c>
      <c r="J25" s="46" t="s">
        <v>34</v>
      </c>
      <c r="K25" s="47" t="s">
        <v>61</v>
      </c>
      <c r="L25" s="47" t="s">
        <v>46</v>
      </c>
      <c r="M25" s="31">
        <v>2</v>
      </c>
      <c r="N25" s="34">
        <v>6</v>
      </c>
      <c r="O25" s="32">
        <v>3</v>
      </c>
      <c r="P25" s="32"/>
      <c r="Q25" s="32">
        <v>2</v>
      </c>
      <c r="R25" s="32">
        <v>8</v>
      </c>
      <c r="S25" s="33">
        <v>7</v>
      </c>
      <c r="T25" s="34">
        <v>3</v>
      </c>
      <c r="U25" s="48">
        <v>8</v>
      </c>
      <c r="V25" s="48">
        <v>1</v>
      </c>
      <c r="W25" s="33">
        <v>3</v>
      </c>
      <c r="X25" s="34">
        <v>2</v>
      </c>
      <c r="Y25" s="33">
        <v>3</v>
      </c>
      <c r="Z25" s="59">
        <v>8</v>
      </c>
      <c r="AA25" s="64">
        <f t="shared" si="1"/>
        <v>2</v>
      </c>
      <c r="AB25" s="41">
        <f t="shared" si="2"/>
        <v>0.5</v>
      </c>
      <c r="AC25" s="41">
        <f t="shared" si="3"/>
        <v>0</v>
      </c>
      <c r="AD25" s="41">
        <f t="shared" si="4"/>
        <v>0</v>
      </c>
      <c r="AE25" s="41">
        <f t="shared" si="5"/>
        <v>3</v>
      </c>
      <c r="AF25" s="41">
        <f t="shared" si="6"/>
        <v>2.5</v>
      </c>
      <c r="AG25" s="41">
        <f t="shared" si="7"/>
        <v>0.5</v>
      </c>
      <c r="AH25" s="41">
        <f t="shared" si="8"/>
        <v>3</v>
      </c>
      <c r="AI25" s="41">
        <f t="shared" si="9"/>
        <v>0.5</v>
      </c>
      <c r="AJ25" s="41">
        <f t="shared" si="10"/>
        <v>0.5</v>
      </c>
      <c r="AK25" s="41">
        <f t="shared" si="11"/>
        <v>0</v>
      </c>
      <c r="AL25" s="41">
        <f t="shared" si="12"/>
        <v>0.5</v>
      </c>
      <c r="AM25" s="65">
        <f t="shared" si="13"/>
        <v>3</v>
      </c>
    </row>
    <row r="26" spans="1:40" ht="42" x14ac:dyDescent="0.25">
      <c r="A26" s="45" t="s">
        <v>84</v>
      </c>
      <c r="B26" s="46" t="s">
        <v>76</v>
      </c>
      <c r="C26" s="46">
        <v>45789</v>
      </c>
      <c r="D26" s="46">
        <v>0.4375</v>
      </c>
      <c r="E26" s="46">
        <v>45789</v>
      </c>
      <c r="F26" s="46">
        <v>0.52083333333333337</v>
      </c>
      <c r="G26" s="47" t="s">
        <v>78</v>
      </c>
      <c r="H26" s="47" t="s">
        <v>79</v>
      </c>
      <c r="I26" s="46" t="s">
        <v>33</v>
      </c>
      <c r="J26" s="46" t="s">
        <v>34</v>
      </c>
      <c r="K26" s="47" t="s">
        <v>70</v>
      </c>
      <c r="L26" s="47" t="s">
        <v>46</v>
      </c>
      <c r="M26" s="31">
        <v>7</v>
      </c>
      <c r="N26" s="37">
        <v>29</v>
      </c>
      <c r="O26" s="32">
        <v>9</v>
      </c>
      <c r="P26" s="32"/>
      <c r="Q26" s="32"/>
      <c r="R26" s="32">
        <v>0</v>
      </c>
      <c r="S26" s="33"/>
      <c r="T26" s="34"/>
      <c r="U26" s="48"/>
      <c r="V26" s="48"/>
      <c r="W26" s="33">
        <v>9</v>
      </c>
      <c r="X26" s="34">
        <v>9</v>
      </c>
      <c r="Y26" s="33">
        <v>9</v>
      </c>
      <c r="Z26" s="59"/>
      <c r="AA26" s="64">
        <f t="shared" si="1"/>
        <v>3.1428571428571428</v>
      </c>
      <c r="AB26" s="41">
        <f t="shared" si="2"/>
        <v>0.2857142857142857</v>
      </c>
      <c r="AC26" s="41">
        <f t="shared" si="3"/>
        <v>0</v>
      </c>
      <c r="AD26" s="41">
        <f t="shared" si="4"/>
        <v>0</v>
      </c>
      <c r="AE26" s="41">
        <f t="shared" si="5"/>
        <v>1</v>
      </c>
      <c r="AF26" s="41">
        <f t="shared" si="6"/>
        <v>0</v>
      </c>
      <c r="AG26" s="41">
        <f t="shared" si="7"/>
        <v>0</v>
      </c>
      <c r="AH26" s="41">
        <f t="shared" si="8"/>
        <v>0</v>
      </c>
      <c r="AI26" s="41">
        <f t="shared" si="9"/>
        <v>0</v>
      </c>
      <c r="AJ26" s="41">
        <f t="shared" si="10"/>
        <v>0.2857142857142857</v>
      </c>
      <c r="AK26" s="41">
        <f t="shared" si="11"/>
        <v>0.2857142857142857</v>
      </c>
      <c r="AL26" s="41">
        <f t="shared" si="12"/>
        <v>0.2857142857142857</v>
      </c>
      <c r="AM26" s="65">
        <f t="shared" si="13"/>
        <v>0</v>
      </c>
    </row>
    <row r="27" spans="1:40" ht="252" x14ac:dyDescent="0.25">
      <c r="A27" s="45" t="s">
        <v>84</v>
      </c>
      <c r="B27" s="46" t="s">
        <v>76</v>
      </c>
      <c r="C27" s="46">
        <v>45789</v>
      </c>
      <c r="D27" s="46">
        <v>0.5625</v>
      </c>
      <c r="E27" s="46">
        <v>45789</v>
      </c>
      <c r="F27" s="46">
        <v>0.64583333333333337</v>
      </c>
      <c r="G27" s="47" t="s">
        <v>97</v>
      </c>
      <c r="H27" s="47" t="s">
        <v>98</v>
      </c>
      <c r="I27" s="46" t="s">
        <v>33</v>
      </c>
      <c r="J27" s="46" t="s">
        <v>34</v>
      </c>
      <c r="K27" s="47" t="s">
        <v>99</v>
      </c>
      <c r="L27" s="47" t="s">
        <v>100</v>
      </c>
      <c r="M27" s="31">
        <v>97</v>
      </c>
      <c r="N27" s="34">
        <v>81</v>
      </c>
      <c r="O27" s="32">
        <v>90</v>
      </c>
      <c r="P27" s="32">
        <v>83</v>
      </c>
      <c r="Q27" s="32">
        <v>90</v>
      </c>
      <c r="R27" s="32">
        <v>85</v>
      </c>
      <c r="S27" s="36">
        <v>72</v>
      </c>
      <c r="T27" s="34">
        <v>89</v>
      </c>
      <c r="U27" s="35"/>
      <c r="V27" s="32">
        <v>88</v>
      </c>
      <c r="W27" s="38">
        <v>89</v>
      </c>
      <c r="X27" s="34">
        <v>90</v>
      </c>
      <c r="Y27" s="33">
        <v>86</v>
      </c>
      <c r="Z27" s="59">
        <v>84</v>
      </c>
      <c r="AA27" s="64">
        <f t="shared" si="1"/>
        <v>0.16494845360824742</v>
      </c>
      <c r="AB27" s="41">
        <f t="shared" si="2"/>
        <v>7.2164948453608241E-2</v>
      </c>
      <c r="AC27" s="41">
        <f t="shared" si="3"/>
        <v>0.14432989690721648</v>
      </c>
      <c r="AD27" s="41">
        <f t="shared" si="4"/>
        <v>7.2164948453608241E-2</v>
      </c>
      <c r="AE27" s="41">
        <f t="shared" si="5"/>
        <v>0.12371134020618557</v>
      </c>
      <c r="AF27" s="41">
        <f t="shared" si="6"/>
        <v>0.25773195876288657</v>
      </c>
      <c r="AG27" s="41">
        <f t="shared" si="7"/>
        <v>8.247422680412371E-2</v>
      </c>
      <c r="AH27" s="41">
        <f t="shared" si="8"/>
        <v>0</v>
      </c>
      <c r="AI27" s="41">
        <f t="shared" si="9"/>
        <v>9.2783505154639179E-2</v>
      </c>
      <c r="AJ27" s="41">
        <f t="shared" si="10"/>
        <v>8.247422680412371E-2</v>
      </c>
      <c r="AK27" s="41">
        <f t="shared" si="11"/>
        <v>7.2164948453608241E-2</v>
      </c>
      <c r="AL27" s="41">
        <f t="shared" si="12"/>
        <v>0.1134020618556701</v>
      </c>
      <c r="AM27" s="65">
        <f t="shared" si="13"/>
        <v>0.13402061855670103</v>
      </c>
    </row>
    <row r="28" spans="1:40" ht="42.75" thickBot="1" x14ac:dyDescent="0.3">
      <c r="A28" s="45" t="s">
        <v>84</v>
      </c>
      <c r="B28" s="46" t="s">
        <v>76</v>
      </c>
      <c r="C28" s="46">
        <v>45789</v>
      </c>
      <c r="D28" s="46">
        <v>0.5625</v>
      </c>
      <c r="E28" s="46">
        <v>45789</v>
      </c>
      <c r="F28" s="46">
        <v>0.64583333333333337</v>
      </c>
      <c r="G28" s="47" t="s">
        <v>78</v>
      </c>
      <c r="H28" s="47" t="s">
        <v>81</v>
      </c>
      <c r="I28" s="46" t="s">
        <v>33</v>
      </c>
      <c r="J28" s="46" t="s">
        <v>34</v>
      </c>
      <c r="K28" s="47" t="s">
        <v>70</v>
      </c>
      <c r="L28" s="47" t="s">
        <v>46</v>
      </c>
      <c r="M28" s="39">
        <v>6</v>
      </c>
      <c r="N28" s="34">
        <v>13</v>
      </c>
      <c r="O28" s="32">
        <v>18</v>
      </c>
      <c r="P28" s="32"/>
      <c r="Q28" s="32"/>
      <c r="R28" s="32">
        <v>0</v>
      </c>
      <c r="S28" s="33"/>
      <c r="T28" s="34"/>
      <c r="U28" s="48"/>
      <c r="V28" s="48"/>
      <c r="W28" s="33"/>
      <c r="X28" s="34">
        <v>8</v>
      </c>
      <c r="Y28" s="33"/>
      <c r="Z28" s="59"/>
      <c r="AA28" s="66">
        <f t="shared" si="1"/>
        <v>1.1666666666666667</v>
      </c>
      <c r="AB28" s="67">
        <f t="shared" si="2"/>
        <v>2</v>
      </c>
      <c r="AC28" s="67">
        <f t="shared" si="3"/>
        <v>0</v>
      </c>
      <c r="AD28" s="67">
        <f t="shared" si="4"/>
        <v>0</v>
      </c>
      <c r="AE28" s="67">
        <f t="shared" si="5"/>
        <v>1</v>
      </c>
      <c r="AF28" s="67">
        <f t="shared" si="6"/>
        <v>0</v>
      </c>
      <c r="AG28" s="67">
        <f t="shared" si="7"/>
        <v>0</v>
      </c>
      <c r="AH28" s="67">
        <f t="shared" si="8"/>
        <v>0</v>
      </c>
      <c r="AI28" s="67">
        <f t="shared" si="9"/>
        <v>0</v>
      </c>
      <c r="AJ28" s="67">
        <f t="shared" si="10"/>
        <v>0</v>
      </c>
      <c r="AK28" s="67">
        <f t="shared" si="11"/>
        <v>0.33333333333333331</v>
      </c>
      <c r="AL28" s="67">
        <f t="shared" si="12"/>
        <v>0</v>
      </c>
      <c r="AM28" s="68">
        <f t="shared" si="13"/>
        <v>0</v>
      </c>
    </row>
    <row r="29" spans="1:40" ht="63.75" thickBot="1" x14ac:dyDescent="0.3">
      <c r="A29" s="45"/>
      <c r="B29" s="45"/>
      <c r="C29" s="45"/>
      <c r="D29" s="45"/>
      <c r="E29" s="45"/>
      <c r="F29" s="45"/>
      <c r="G29" s="51"/>
      <c r="H29" s="51"/>
      <c r="I29" s="45"/>
      <c r="J29" s="45"/>
      <c r="K29" s="47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59"/>
      <c r="AA29" s="71">
        <f>AVERAGEIF(AA2:AA28,"&gt;0")</f>
        <v>0.90472338133420616</v>
      </c>
      <c r="AB29" s="73">
        <f t="shared" ref="AB29:AM29" si="14">AVERAGEIF(AB2:AB28,"&gt;0")</f>
        <v>0.43805598118312888</v>
      </c>
      <c r="AC29" s="69">
        <f t="shared" si="14"/>
        <v>0.17909581827107598</v>
      </c>
      <c r="AD29" s="73">
        <f t="shared" si="14"/>
        <v>0.465441603070469</v>
      </c>
      <c r="AE29" s="70">
        <f t="shared" si="14"/>
        <v>0.99760146653305037</v>
      </c>
      <c r="AF29" s="73">
        <f t="shared" si="14"/>
        <v>0.54633010889454181</v>
      </c>
      <c r="AG29" s="69">
        <f t="shared" si="14"/>
        <v>0.39944511387810355</v>
      </c>
      <c r="AH29" s="70">
        <f t="shared" si="14"/>
        <v>0.71952491952491948</v>
      </c>
      <c r="AI29" s="69">
        <f t="shared" si="14"/>
        <v>0.43175793278886054</v>
      </c>
      <c r="AJ29" s="69">
        <f t="shared" si="14"/>
        <v>0.3106642269528867</v>
      </c>
      <c r="AK29" s="69">
        <f t="shared" si="14"/>
        <v>0.27425527571575681</v>
      </c>
      <c r="AL29" s="69">
        <f t="shared" si="14"/>
        <v>0.40215098952212353</v>
      </c>
      <c r="AM29" s="72">
        <f t="shared" si="14"/>
        <v>0.70117257149657741</v>
      </c>
      <c r="AN29" s="50" t="s">
        <v>101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26eb54-0917-4efa-8878-6692b34b84b2">
      <Terms xmlns="http://schemas.microsoft.com/office/infopath/2007/PartnerControls"/>
    </lcf76f155ced4ddcb4097134ff3c332f>
    <TaxCatchAll xmlns="7b829dc0-3b93-4cd6-b683-15c974c1c090" xsi:nil="true"/>
    <Student xmlns="7326eb54-0917-4efa-8878-6692b34b84b2">
      <UserInfo>
        <DisplayName/>
        <AccountId xsi:nil="true"/>
        <AccountType/>
      </UserInfo>
    </Student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1CA9446E2F8547A168A2B34D8F2025" ma:contentTypeVersion="19" ma:contentTypeDescription="Een nieuw document maken." ma:contentTypeScope="" ma:versionID="e3ae17d7d45b55af7d498c32d78fdcfa">
  <xsd:schema xmlns:xsd="http://www.w3.org/2001/XMLSchema" xmlns:xs="http://www.w3.org/2001/XMLSchema" xmlns:p="http://schemas.microsoft.com/office/2006/metadata/properties" xmlns:ns2="7326eb54-0917-4efa-8878-6692b34b84b2" xmlns:ns3="7b829dc0-3b93-4cd6-b683-15c974c1c090" targetNamespace="http://schemas.microsoft.com/office/2006/metadata/properties" ma:root="true" ma:fieldsID="a0d313cf05689bd2654d12633dfaaf71" ns2:_="" ns3:_="">
    <xsd:import namespace="7326eb54-0917-4efa-8878-6692b34b84b2"/>
    <xsd:import namespace="7b829dc0-3b93-4cd6-b683-15c974c1c0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Student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6eb54-0917-4efa-8878-6692b34b8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Student" ma:index="21" nillable="true" ma:displayName="Student" ma:format="Dropdown" ma:list="UserInfo" ma:SharePointGroup="0" ma:internalName="Studen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23" nillable="true" ma:taxonomy="true" ma:internalName="lcf76f155ced4ddcb4097134ff3c332f" ma:taxonomyFieldName="MediaServiceImageTags" ma:displayName="Afbeeldingtags" ma:readOnly="false" ma:fieldId="{5cf76f15-5ced-4ddc-b409-7134ff3c332f}" ma:taxonomyMulti="true" ma:sspId="04d6853f-ba83-42af-bfed-9e600a62ad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29dc0-3b93-4cd6-b683-15c974c1c09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6432e98-46e5-46b2-997e-2de667d33d15}" ma:internalName="TaxCatchAll" ma:showField="CatchAllData" ma:web="7b829dc0-3b93-4cd6-b683-15c974c1c0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49A903-BA67-4A29-924B-7C290B2CC6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574B80-9EFC-48F5-98A8-5EA3604A34E8}">
  <ds:schemaRefs>
    <ds:schemaRef ds:uri="http://schemas.microsoft.com/office/2006/metadata/properties"/>
    <ds:schemaRef ds:uri="http://schemas.microsoft.com/office/infopath/2007/PartnerControls"/>
    <ds:schemaRef ds:uri="7326eb54-0917-4efa-8878-6692b34b84b2"/>
    <ds:schemaRef ds:uri="7b829dc0-3b93-4cd6-b683-15c974c1c090"/>
  </ds:schemaRefs>
</ds:datastoreItem>
</file>

<file path=customXml/itemProps3.xml><?xml version="1.0" encoding="utf-8"?>
<ds:datastoreItem xmlns:ds="http://schemas.openxmlformats.org/officeDocument/2006/customXml" ds:itemID="{E865F21B-F3B5-4064-A26C-87966470BE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26eb54-0917-4efa-8878-6692b34b84b2"/>
    <ds:schemaRef ds:uri="7b829dc0-3b93-4cd6-b683-15c974c1c0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TimeEdit</vt:lpstr>
      <vt:lpstr>Stats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skullgames gauthier</cp:lastModifiedBy>
  <cp:revision/>
  <dcterms:created xsi:type="dcterms:W3CDTF">2025-12-01T16:28:20Z</dcterms:created>
  <dcterms:modified xsi:type="dcterms:W3CDTF">2026-08-13T21:36:09Z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0x010100451CA9446E2F8547A168A2B34D8F2025</vt:lpwstr>
  </property>
  <property fmtid="{D5CDD505-2E9C-101B-9397-08002B2CF9AE}" pid="3" name="MediaServiceImageTags">
    <vt:lpwstr/>
  </property>
</Properties>
</file>